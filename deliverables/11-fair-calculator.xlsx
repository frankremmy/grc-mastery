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Oscorp phishing" sheetId="2" state="visible" r:id="rId4"/>
    <sheet name="Scenario template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<sst xmlns="http://schemas.openxmlformats.org/spreadsheetml/2006/main" count="198" uniqueCount="127">
  <si>
    <t xml:space="preserve">FAIR cyber risk quantification calculator</t>
  </si>
  <si>
    <t xml:space="preserve">Built by Frank Remmy as part of GRC Mastery module 11. Implements the Open FAIR</t>
  </si>
  <si>
    <t xml:space="preserve">ontology (Factor Analysis of Information Risk) as a single-scenario calculator.</t>
  </si>
  <si>
    <t xml:space="preserve">HOW TO USE</t>
  </si>
  <si>
    <t xml:space="preserve">1.</t>
  </si>
  <si>
    <t xml:space="preserve">Copy the "Scenario template" sheet for each new risk scenario.</t>
  </si>
  <si>
    <t xml:space="preserve">2.</t>
  </si>
  <si>
    <t xml:space="preserve">Fill only the yellow input cells. Everything else is calculated.</t>
  </si>
  <si>
    <t xml:space="preserve">3.</t>
  </si>
  <si>
    <t xml:space="preserve">Record the source and owner of every input. An input with no owner is a guess.</t>
  </si>
  <si>
    <t xml:space="preserve">4.</t>
  </si>
  <si>
    <t xml:space="preserve">Read the Sensitivity sheet before presenting. A single figure invites attack;</t>
  </si>
  <si>
    <t xml:space="preserve">a range that survives pessimistic assumptions does not.</t>
  </si>
  <si>
    <t xml:space="preserve">WHO OWNS EACH INPUT</t>
  </si>
  <si>
    <t xml:space="preserve">Threat Event Frequency</t>
  </si>
  <si>
    <t xml:space="preserve">Security operations / email gateway telemetry</t>
  </si>
  <si>
    <t xml:space="preserve">Susceptibility</t>
  </si>
  <si>
    <t xml:space="preserve">Security operations / incident response — observed success rate</t>
  </si>
  <si>
    <t xml:space="preserve">Primary Loss</t>
  </si>
  <si>
    <t xml:space="preserve">Incident response + finance — hours worked at loaded cost</t>
  </si>
  <si>
    <t xml:space="preserve">Secondary Loss Magnitude</t>
  </si>
  <si>
    <t xml:space="preserve">Legal, contracts, finance, business owner</t>
  </si>
  <si>
    <t xml:space="preserve">Secondary Loss Event Frequency</t>
  </si>
  <si>
    <t xml:space="preserve">Legal + business owner — share of events causing fallout</t>
  </si>
  <si>
    <t xml:space="preserve">Control effectiveness</t>
  </si>
  <si>
    <t xml:space="preserve">Vendor data, industry research, or internal pilot</t>
  </si>
  <si>
    <t xml:space="preserve">Control cost</t>
  </si>
  <si>
    <t xml:space="preserve">Procurement — fully loaded annual cost, not licence alone</t>
  </si>
  <si>
    <t xml:space="preserve">MODEL NOTES</t>
  </si>
  <si>
    <t xml:space="preserve">•</t>
  </si>
  <si>
    <t xml:space="preserve">Susceptibility is FAIR's "Vulnerability" — the probability a threat event becomes</t>
  </si>
  <si>
    <t xml:space="preserve">a loss event. Where observed success-rate data exists, use it instead of</t>
  </si>
  <si>
    <t xml:space="preserve">estimating Threat Capability against Resistance Strength separately.</t>
  </si>
  <si>
    <t xml:space="preserve">Secondary loss is modelled as SLEF x SLM. SLEF is below 100% by definition —</t>
  </si>
  <si>
    <t xml:space="preserve">not every loss event produces fallout. Setting it to 100% overstates exposure.</t>
  </si>
  <si>
    <t xml:space="preserve">Controls that change behaviour or filtering act on SUSCEPTIBILITY, not on Threat</t>
  </si>
  <si>
    <t xml:space="preserve">Event Frequency. Almost nothing an organisation buys reduces how often it is</t>
  </si>
  <si>
    <t xml:space="preserve">attacked.</t>
  </si>
  <si>
    <t xml:space="preserve">This is a deterministic point-estimate model. Full FAIR practice uses calibrated</t>
  </si>
  <si>
    <t xml:space="preserve">ranges and Monte Carlo simulation. The Sensitivity sheet is the substitute.</t>
  </si>
  <si>
    <t xml:space="preserve">COLOUR KEY</t>
  </si>
  <si>
    <t xml:space="preserve">Yellow</t>
  </si>
  <si>
    <t xml:space="preserve">Input — edit these</t>
  </si>
  <si>
    <t xml:space="preserve">Green</t>
  </si>
  <si>
    <t xml:space="preserve">Calculated output</t>
  </si>
  <si>
    <t xml:space="preserve">Blue text</t>
  </si>
  <si>
    <t xml:space="preserve">Hardcoded assumption</t>
  </si>
  <si>
    <t xml:space="preserve">Oscorp — phishing risk quantification</t>
  </si>
  <si>
    <t xml:space="preserve">Scenario</t>
  </si>
  <si>
    <t xml:space="preserve">A phishing email delivered to an Oscorp employee results in credential compromise or malware execution, requiring incident response and potentially exposing research data.</t>
  </si>
  <si>
    <t xml:space="preserve">Asset</t>
  </si>
  <si>
    <t xml:space="preserve">Employee mailboxes and credentials; the research data estate reachable from them</t>
  </si>
  <si>
    <t xml:space="preserve">Threat</t>
  </si>
  <si>
    <t xml:space="preserve">External actors sending phishing email — commodity criminal through to targeted</t>
  </si>
  <si>
    <t xml:space="preserve">Loss Event Frequency</t>
  </si>
  <si>
    <t xml:space="preserve">Source / owner</t>
  </si>
  <si>
    <t xml:space="preserve">Threat Event Frequency (TEF)</t>
  </si>
  <si>
    <t xml:space="preserve">per year</t>
  </si>
  <si>
    <t xml:space="preserve">ASSUMPTION. Oscorp has no SOC and no email gateway reporting, so no observed figure exists. Estimated as ~250 staff x ~12 phishing emails reaching inboxes per year. Range tested: 1,500-6,000. Replace with gateway data before presenting.</t>
  </si>
  <si>
    <t xml:space="preserve">Susceptibility (Susc)</t>
  </si>
  <si>
    <t xml:space="preserve">probability</t>
  </si>
  <si>
    <t xml:space="preserve">ASSUMPTION. Share of delivered phishing that becomes a loss event (not click rate — a click stopped by MFA is not a loss event). Onboarding-only training last refreshed 2013, no simulation. Range tested: 0.1%-0.4%.</t>
  </si>
  <si>
    <t xml:space="preserve">Loss Event Frequency (LEF)</t>
  </si>
  <si>
    <t xml:space="preserve">LEF = TEF x Susceptibility. Loss events expected per year.</t>
  </si>
  <si>
    <t xml:space="preserve">Loss Magnitude</t>
  </si>
  <si>
    <t xml:space="preserve">Primary Loss per event (PL)</t>
  </si>
  <si>
    <t xml:space="preserve">per event</t>
  </si>
  <si>
    <t xml:space="preserve">ASSUMPTION. Incident response hours, external IR provider call-off, credential reset, user downtime, forensic review. Oscorp has no internal IR team, so this is mostly external cost. Range tested: EUR 8,000-35,000.</t>
  </si>
  <si>
    <t xml:space="preserve">Secondary Loss Magnitude (SLM)</t>
  </si>
  <si>
    <t xml:space="preserve">ASSUMPTION. Regulatory notification and legal costs, research partner contract consequences, and potential research IP exposure. Oscorp is likely in NIS2 scope and is subject to GDPR. Range tested: EUR 80,000-1,200,000. Requires legal input.</t>
  </si>
  <si>
    <t xml:space="preserve">Secondary Loss Event Freq (SLEF)</t>
  </si>
  <si>
    <t xml:space="preserve">of events</t>
  </si>
  <si>
    <t xml:space="preserve">ASSUMPTION. Share of loss events producing fallout. Most contained credential compromises will not; events touching research data will. Requires legal and business owner input. Range tested: 5%-40%.</t>
  </si>
  <si>
    <t xml:space="preserve">Expected Secondary Loss (SL)</t>
  </si>
  <si>
    <t xml:space="preserve">SL = SLM x SLEF. SLEF is below 100% because fallout is indirect.</t>
  </si>
  <si>
    <t xml:space="preserve">Total Loss per event (LM)</t>
  </si>
  <si>
    <t xml:space="preserve">LM = PL + SL.</t>
  </si>
  <si>
    <t xml:space="preserve">Annualised exposure — current state</t>
  </si>
  <si>
    <t xml:space="preserve">Annualised Loss Exposure (ALE)</t>
  </si>
  <si>
    <t xml:space="preserve">ALE = LEF x Loss Magnitude. The headline figure.</t>
  </si>
  <si>
    <t xml:space="preserve">Proposed control</t>
  </si>
  <si>
    <t xml:space="preserve">Control name</t>
  </si>
  <si>
    <t xml:space="preserve">Awareness + phishing simulation programme</t>
  </si>
  <si>
    <t xml:space="preserve">The platform Norman Osborn was pitched at lunch (module 06 assessment)</t>
  </si>
  <si>
    <t xml:space="preserve">Reduction in susceptibility</t>
  </si>
  <si>
    <t xml:space="preserve">reduction</t>
  </si>
  <si>
    <t xml:space="preserve">ASSUMPTION, deliberately conservative. Vendor claims are typically higher. Range tested: 20%-65%. See break-even below.</t>
  </si>
  <si>
    <t xml:space="preserve">Annual control cost</t>
  </si>
  <si>
    <t xml:space="preserve">ASSUMPTION. Licence plus internal administration time, not licence alone. Procurement to confirm.</t>
  </si>
  <si>
    <t xml:space="preserve">Residual Susceptibility</t>
  </si>
  <si>
    <t xml:space="preserve">The control acts on susceptibility, not on how often attacks arrive.</t>
  </si>
  <si>
    <t xml:space="preserve">Residual LEF</t>
  </si>
  <si>
    <t xml:space="preserve">Recomputed from the reduced susceptibility.</t>
  </si>
  <si>
    <t xml:space="preserve">Residual ALE</t>
  </si>
  <si>
    <t xml:space="preserve">Exposure the organisation still carries.</t>
  </si>
  <si>
    <t xml:space="preserve">Decision</t>
  </si>
  <si>
    <t xml:space="preserve">Risk reduction</t>
  </si>
  <si>
    <t xml:space="preserve">Annual loss avoided.</t>
  </si>
  <si>
    <t xml:space="preserve">Total annual cost with control</t>
  </si>
  <si>
    <t xml:space="preserve">Residual ALE plus the control cost.</t>
  </si>
  <si>
    <t xml:space="preserve">Net annual benefit</t>
  </si>
  <si>
    <t xml:space="preserve">Positive means the control pays for itself.</t>
  </si>
  <si>
    <t xml:space="preserve">ROSI</t>
  </si>
  <si>
    <t xml:space="preserve">Return on security investment = (risk reduction - cost) / cost.</t>
  </si>
  <si>
    <t xml:space="preserve">Break-even effectiveness</t>
  </si>
  <si>
    <t xml:space="preserve">The control pays for itself above this reduction. The most robust number here.</t>
  </si>
  <si>
    <t xml:space="preserve">Every yellow cell is an estimate. Record who supplied it and when.</t>
  </si>
  <si>
    <t xml:space="preserve">FAIR scenario — &lt;name&gt;</t>
  </si>
  <si>
    <t xml:space="preserve">&lt;Describe the asset, the threat, and the form of loss&gt;</t>
  </si>
  <si>
    <t xml:space="preserve">&lt;What is being protected&gt;</t>
  </si>
  <si>
    <t xml:space="preserve">&lt;Who or what causes the loss&gt;</t>
  </si>
  <si>
    <t xml:space="preserve">Example: 3,000 phishing emails reaching inboxes per year (from the email gateway)</t>
  </si>
  <si>
    <t xml:space="preserve">Example: 0.20% of delivered phishing becomes a loss event (from IR records)</t>
  </si>
  <si>
    <t xml:space="preserve">Example: EUR 18,000 per event in response hours and external IR cost</t>
  </si>
  <si>
    <t xml:space="preserve">Example: EUR 250,000 in legal, regulatory and contract fallout when it occurs</t>
  </si>
  <si>
    <t xml:space="preserve">Example: 15% of loss events produce fallout</t>
  </si>
  <si>
    <t xml:space="preserve">Example: 50% reduction in susceptibility</t>
  </si>
  <si>
    <t xml:space="preserve">Example: EUR 60,000 per year fully loaded</t>
  </si>
  <si>
    <t xml:space="preserve">Oscorp phishing — sensitivity analysis</t>
  </si>
  <si>
    <t xml:space="preserve">The conclusion rests on estimates. These tables show whether it survives pessimistic ones. Values recalculate from the Oscorp phishing sheet.</t>
  </si>
  <si>
    <t xml:space="preserve">Net annual benefit vs. control effectiveness</t>
  </si>
  <si>
    <t xml:space="preserve">Current ALE vs. the two least certain likelihood inputs</t>
  </si>
  <si>
    <t xml:space="preserve">Susceptibility \ TEF</t>
  </si>
  <si>
    <t xml:space="preserve">Current ALE vs. the secondary loss assumptions</t>
  </si>
  <si>
    <t xml:space="preserve">SLEF \ SLM</t>
  </si>
  <si>
    <t xml:space="preserve">Reading these tables</t>
  </si>
  <si>
    <t xml:space="preserve">The break-even effectiveness on the scenario sheet is the most robust number in this workbook: it depends only on the control cost and the current ALE, not on any claim the vendor makes. Present that alongside the headline figure.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</si>
</sst>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.00"/>
    <numFmt numFmtId="168" formatCode="\€#,##0;&quot;(€&quot;#,##0\);\-"/>
    <numFmt numFmtId="169" formatCode="@"/>
    <numFmt numFmtId="170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2" t="s">
        <v>2</v>
      </c>
      <c r="B4" s="2"/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3" t="s">
        <v>3</v>
      </c>
      <c r="B6" s="2"/>
    </row>
    <row r="7" customFormat="false" ht="15" hidden="false" customHeight="false" outlineLevel="0" collapsed="false">
      <c r="A7" s="2" t="s">
        <v>4</v>
      </c>
      <c r="B7" s="2" t="s">
        <v>5</v>
      </c>
    </row>
    <row r="8" customFormat="false" ht="15" hidden="false" customHeight="false" outlineLevel="0" collapsed="false">
      <c r="A8" s="2" t="s">
        <v>6</v>
      </c>
      <c r="B8" s="2" t="s">
        <v>7</v>
      </c>
    </row>
    <row r="9" customFormat="false" ht="15" hidden="false" customHeight="false" outlineLevel="0" collapsed="false">
      <c r="A9" s="2" t="s">
        <v>8</v>
      </c>
      <c r="B9" s="2" t="s">
        <v>9</v>
      </c>
    </row>
    <row r="10" customFormat="false" ht="15" hidden="false" customHeight="false" outlineLevel="0" collapsed="false">
      <c r="A10" s="2" t="s">
        <v>10</v>
      </c>
      <c r="B10" s="2" t="s">
        <v>11</v>
      </c>
    </row>
    <row r="11" customFormat="false" ht="15" hidden="false" customHeight="false" outlineLevel="0" collapsed="false">
      <c r="A11" s="2"/>
      <c r="B11" s="2" t="s">
        <v>12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3" t="s">
        <v>13</v>
      </c>
      <c r="B13" s="2"/>
    </row>
    <row r="14" customFormat="false" ht="15" hidden="false" customHeight="false" outlineLevel="0" collapsed="false">
      <c r="A14" s="2" t="s">
        <v>14</v>
      </c>
      <c r="B14" s="2" t="s">
        <v>15</v>
      </c>
    </row>
    <row r="15" customFormat="false" ht="15" hidden="false" customHeight="false" outlineLevel="0" collapsed="false">
      <c r="A15" s="2" t="s">
        <v>16</v>
      </c>
      <c r="B15" s="2" t="s">
        <v>17</v>
      </c>
    </row>
    <row r="16" customFormat="false" ht="15" hidden="false" customHeight="false" outlineLevel="0" collapsed="false">
      <c r="A16" s="2" t="s">
        <v>18</v>
      </c>
      <c r="B16" s="2" t="s">
        <v>19</v>
      </c>
    </row>
    <row r="17" customFormat="false" ht="15" hidden="false" customHeight="false" outlineLevel="0" collapsed="false">
      <c r="A17" s="2" t="s">
        <v>20</v>
      </c>
      <c r="B17" s="2" t="s">
        <v>21</v>
      </c>
    </row>
    <row r="18" customFormat="false" ht="15" hidden="false" customHeight="false" outlineLevel="0" collapsed="false">
      <c r="A18" s="2" t="s">
        <v>22</v>
      </c>
      <c r="B18" s="2" t="s">
        <v>23</v>
      </c>
    </row>
    <row r="19" customFormat="false" ht="15" hidden="false" customHeight="false" outlineLevel="0" collapsed="false">
      <c r="A19" s="2" t="s">
        <v>24</v>
      </c>
      <c r="B19" s="2" t="s">
        <v>25</v>
      </c>
    </row>
    <row r="20" customFormat="false" ht="15" hidden="false" customHeight="false" outlineLevel="0" collapsed="false">
      <c r="A20" s="2" t="s">
        <v>26</v>
      </c>
      <c r="B20" s="2" t="s">
        <v>27</v>
      </c>
    </row>
    <row r="21" customFormat="false" ht="15" hidden="false" customHeight="false" outlineLevel="0" collapsed="false">
      <c r="A21" s="2"/>
      <c r="B21" s="2"/>
    </row>
    <row r="22" customFormat="false" ht="15" hidden="false" customHeight="false" outlineLevel="0" collapsed="false">
      <c r="A22" s="3" t="s">
        <v>28</v>
      </c>
      <c r="B22" s="2"/>
    </row>
    <row r="23" customFormat="false" ht="15" hidden="false" customHeight="false" outlineLevel="0" collapsed="false">
      <c r="A23" s="2" t="s">
        <v>29</v>
      </c>
      <c r="B23" s="2" t="s">
        <v>30</v>
      </c>
    </row>
    <row r="24" customFormat="false" ht="15" hidden="false" customHeight="false" outlineLevel="0" collapsed="false">
      <c r="A24" s="2"/>
      <c r="B24" s="2" t="s">
        <v>31</v>
      </c>
    </row>
    <row r="25" customFormat="false" ht="15" hidden="false" customHeight="false" outlineLevel="0" collapsed="false">
      <c r="A25" s="2"/>
      <c r="B25" s="2" t="s">
        <v>32</v>
      </c>
    </row>
    <row r="26" customFormat="false" ht="15" hidden="false" customHeight="false" outlineLevel="0" collapsed="false">
      <c r="A26" s="2" t="s">
        <v>29</v>
      </c>
      <c r="B26" s="2" t="s">
        <v>33</v>
      </c>
    </row>
    <row r="27" customFormat="false" ht="15" hidden="false" customHeight="false" outlineLevel="0" collapsed="false">
      <c r="A27" s="2"/>
      <c r="B27" s="2" t="s">
        <v>34</v>
      </c>
    </row>
    <row r="28" customFormat="false" ht="15" hidden="false" customHeight="false" outlineLevel="0" collapsed="false">
      <c r="A28" s="2" t="s">
        <v>29</v>
      </c>
      <c r="B28" s="2" t="s">
        <v>35</v>
      </c>
    </row>
    <row r="29" customFormat="false" ht="15" hidden="false" customHeight="false" outlineLevel="0" collapsed="false">
      <c r="A29" s="2"/>
      <c r="B29" s="2" t="s">
        <v>36</v>
      </c>
    </row>
    <row r="30" customFormat="false" ht="15" hidden="false" customHeight="false" outlineLevel="0" collapsed="false">
      <c r="A30" s="2"/>
      <c r="B30" s="2" t="s">
        <v>37</v>
      </c>
    </row>
    <row r="31" customFormat="false" ht="15" hidden="false" customHeight="false" outlineLevel="0" collapsed="false">
      <c r="A31" s="2" t="s">
        <v>29</v>
      </c>
      <c r="B31" s="2" t="s">
        <v>38</v>
      </c>
    </row>
    <row r="32" customFormat="false" ht="15" hidden="false" customHeight="false" outlineLevel="0" collapsed="false">
      <c r="A32" s="2"/>
      <c r="B32" s="2" t="s">
        <v>39</v>
      </c>
    </row>
    <row r="33" customFormat="false" ht="15" hidden="false" customHeight="false" outlineLevel="0" collapsed="false">
      <c r="A33" s="2"/>
      <c r="B33" s="2"/>
    </row>
    <row r="34" customFormat="false" ht="15" hidden="false" customHeight="false" outlineLevel="0" collapsed="false">
      <c r="A34" s="3" t="s">
        <v>40</v>
      </c>
      <c r="B34" s="2"/>
    </row>
    <row r="35" customFormat="false" ht="15" hidden="false" customHeight="false" outlineLevel="0" collapsed="false">
      <c r="A35" s="4" t="s">
        <v>41</v>
      </c>
      <c r="B35" s="2" t="s">
        <v>42</v>
      </c>
    </row>
    <row r="36" customFormat="false" ht="15" hidden="false" customHeight="false" outlineLevel="0" collapsed="false">
      <c r="A36" s="5" t="s">
        <v>43</v>
      </c>
      <c r="B36" s="2" t="s">
        <v>44</v>
      </c>
    </row>
    <row r="37" customFormat="false" ht="15" hidden="false" customHeight="false" outlineLevel="0" collapsed="false">
      <c r="A37" s="6" t="s">
        <v>45</v>
      </c>
      <c r="B37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62"/>
  </cols>
  <sheetData>
    <row r="1" customFormat="false" ht="17.35" hidden="false" customHeight="false" outlineLevel="0" collapsed="false">
      <c r="B1" s="1" t="s">
        <v>47</v>
      </c>
    </row>
    <row r="3" customFormat="false" ht="30" hidden="false" customHeight="true" outlineLevel="0" collapsed="false">
      <c r="B3" s="3" t="s">
        <v>48</v>
      </c>
      <c r="C3" s="7" t="s">
        <v>49</v>
      </c>
      <c r="D3" s="7"/>
      <c r="E3" s="7"/>
    </row>
    <row r="4" customFormat="false" ht="13.5" hidden="false" customHeight="true" outlineLevel="0" collapsed="false">
      <c r="B4" s="8" t="s">
        <v>50</v>
      </c>
      <c r="C4" s="9" t="s">
        <v>51</v>
      </c>
      <c r="D4" s="9"/>
      <c r="E4" s="9"/>
    </row>
    <row r="5" customFormat="false" ht="13.5" hidden="false" customHeight="true" outlineLevel="0" collapsed="false">
      <c r="B5" s="8" t="s">
        <v>52</v>
      </c>
      <c r="C5" s="9" t="s">
        <v>53</v>
      </c>
      <c r="D5" s="9"/>
      <c r="E5" s="9"/>
    </row>
    <row r="6" customFormat="false" ht="13.5" hidden="false" customHeight="true" outlineLevel="0" collapsed="false"/>
    <row r="7" customFormat="false" ht="13.5" hidden="false" customHeight="true" outlineLevel="0" collapsed="false">
      <c r="B7" s="3" t="s">
        <v>54</v>
      </c>
      <c r="E7" s="8" t="s">
        <v>55</v>
      </c>
    </row>
    <row r="8" customFormat="false" ht="13.5" hidden="false" customHeight="true" outlineLevel="0" collapsed="false">
      <c r="B8" s="2" t="s">
        <v>56</v>
      </c>
      <c r="C8" s="10" t="n">
        <v>3000</v>
      </c>
      <c r="D8" s="2" t="s">
        <v>57</v>
      </c>
      <c r="E8" s="11" t="s">
        <v>58</v>
      </c>
    </row>
    <row r="9" customFormat="false" ht="13.5" hidden="false" customHeight="true" outlineLevel="0" collapsed="false">
      <c r="B9" s="2" t="s">
        <v>59</v>
      </c>
      <c r="C9" s="12" t="n">
        <v>0.002</v>
      </c>
      <c r="D9" s="2" t="s">
        <v>60</v>
      </c>
      <c r="E9" s="11" t="s">
        <v>61</v>
      </c>
    </row>
    <row r="10" customFormat="false" ht="13.5" hidden="false" customHeight="true" outlineLevel="0" collapsed="false">
      <c r="B10" s="8" t="s">
        <v>62</v>
      </c>
      <c r="C10" s="13" t="n">
        <f aca="false">C8*C9</f>
        <v>6</v>
      </c>
      <c r="D10" s="2" t="s">
        <v>57</v>
      </c>
      <c r="E10" s="11" t="s">
        <v>63</v>
      </c>
    </row>
    <row r="11" customFormat="false" ht="13.5" hidden="false" customHeight="true" outlineLevel="0" collapsed="false"/>
    <row r="12" customFormat="false" ht="13.5" hidden="false" customHeight="true" outlineLevel="0" collapsed="false">
      <c r="B12" s="3" t="s">
        <v>64</v>
      </c>
    </row>
    <row r="13" customFormat="false" ht="13.5" hidden="false" customHeight="true" outlineLevel="0" collapsed="false">
      <c r="B13" s="2" t="s">
        <v>65</v>
      </c>
      <c r="C13" s="14" t="n">
        <v>18000</v>
      </c>
      <c r="D13" s="2" t="s">
        <v>66</v>
      </c>
      <c r="E13" s="11" t="s">
        <v>67</v>
      </c>
    </row>
    <row r="14" customFormat="false" ht="13.5" hidden="false" customHeight="true" outlineLevel="0" collapsed="false">
      <c r="B14" s="2" t="s">
        <v>68</v>
      </c>
      <c r="C14" s="14" t="n">
        <v>250000</v>
      </c>
      <c r="D14" s="2" t="s">
        <v>66</v>
      </c>
      <c r="E14" s="11" t="s">
        <v>69</v>
      </c>
    </row>
    <row r="15" customFormat="false" ht="13.5" hidden="false" customHeight="true" outlineLevel="0" collapsed="false">
      <c r="B15" s="2" t="s">
        <v>70</v>
      </c>
      <c r="C15" s="12" t="n">
        <v>0.15</v>
      </c>
      <c r="D15" s="2" t="s">
        <v>71</v>
      </c>
      <c r="E15" s="11" t="s">
        <v>72</v>
      </c>
    </row>
    <row r="16" customFormat="false" ht="13.5" hidden="false" customHeight="true" outlineLevel="0" collapsed="false">
      <c r="B16" s="8" t="s">
        <v>73</v>
      </c>
      <c r="C16" s="15" t="n">
        <f aca="false">C14*C15</f>
        <v>37500</v>
      </c>
      <c r="D16" s="2" t="s">
        <v>66</v>
      </c>
      <c r="E16" s="11" t="s">
        <v>74</v>
      </c>
    </row>
    <row r="17" customFormat="false" ht="13.5" hidden="false" customHeight="true" outlineLevel="0" collapsed="false">
      <c r="B17" s="8" t="s">
        <v>75</v>
      </c>
      <c r="C17" s="15" t="n">
        <f aca="false">C13+C16</f>
        <v>55500</v>
      </c>
      <c r="D17" s="2" t="s">
        <v>66</v>
      </c>
      <c r="E17" s="11" t="s">
        <v>76</v>
      </c>
    </row>
    <row r="18" customFormat="false" ht="13.5" hidden="false" customHeight="true" outlineLevel="0" collapsed="false"/>
    <row r="19" customFormat="false" ht="13.5" hidden="false" customHeight="true" outlineLevel="0" collapsed="false">
      <c r="B19" s="3" t="s">
        <v>77</v>
      </c>
    </row>
    <row r="20" customFormat="false" ht="13.5" hidden="false" customHeight="true" outlineLevel="0" collapsed="false">
      <c r="B20" s="8" t="s">
        <v>78</v>
      </c>
      <c r="C20" s="15" t="n">
        <f aca="false">C10*C17</f>
        <v>333000</v>
      </c>
      <c r="D20" s="2" t="s">
        <v>57</v>
      </c>
      <c r="E20" s="11" t="s">
        <v>79</v>
      </c>
    </row>
    <row r="21" customFormat="false" ht="13.5" hidden="false" customHeight="true" outlineLevel="0" collapsed="false"/>
    <row r="22" customFormat="false" ht="13.5" hidden="false" customHeight="true" outlineLevel="0" collapsed="false">
      <c r="B22" s="3" t="s">
        <v>80</v>
      </c>
      <c r="E22" s="8" t="s">
        <v>55</v>
      </c>
    </row>
    <row r="23" customFormat="false" ht="13.5" hidden="false" customHeight="true" outlineLevel="0" collapsed="false">
      <c r="B23" s="2" t="s">
        <v>81</v>
      </c>
      <c r="C23" s="16" t="s">
        <v>82</v>
      </c>
      <c r="D23" s="2"/>
      <c r="E23" s="11" t="s">
        <v>83</v>
      </c>
    </row>
    <row r="24" customFormat="false" ht="13.5" hidden="false" customHeight="true" outlineLevel="0" collapsed="false">
      <c r="B24" s="2" t="s">
        <v>84</v>
      </c>
      <c r="C24" s="12" t="n">
        <v>0.5</v>
      </c>
      <c r="D24" s="2" t="s">
        <v>85</v>
      </c>
      <c r="E24" s="11" t="s">
        <v>86</v>
      </c>
    </row>
    <row r="25" customFormat="false" ht="13.5" hidden="false" customHeight="true" outlineLevel="0" collapsed="false">
      <c r="B25" s="2" t="s">
        <v>87</v>
      </c>
      <c r="C25" s="14" t="n">
        <v>60000</v>
      </c>
      <c r="D25" s="2" t="s">
        <v>57</v>
      </c>
      <c r="E25" s="11" t="s">
        <v>88</v>
      </c>
    </row>
    <row r="26" customFormat="false" ht="13.5" hidden="false" customHeight="true" outlineLevel="0" collapsed="false">
      <c r="B26" s="8" t="s">
        <v>89</v>
      </c>
      <c r="C26" s="17" t="n">
        <f aca="false">C9*(1-C24)</f>
        <v>0.001</v>
      </c>
      <c r="E26" s="11" t="s">
        <v>90</v>
      </c>
    </row>
    <row r="27" customFormat="false" ht="13.5" hidden="false" customHeight="true" outlineLevel="0" collapsed="false">
      <c r="B27" s="8" t="s">
        <v>91</v>
      </c>
      <c r="C27" s="13" t="n">
        <f aca="false">C8*C26</f>
        <v>3</v>
      </c>
      <c r="D27" s="2" t="s">
        <v>57</v>
      </c>
      <c r="E27" s="11" t="s">
        <v>92</v>
      </c>
    </row>
    <row r="28" customFormat="false" ht="13.5" hidden="false" customHeight="true" outlineLevel="0" collapsed="false">
      <c r="B28" s="8" t="s">
        <v>93</v>
      </c>
      <c r="C28" s="15" t="n">
        <f aca="false">C27*C17</f>
        <v>166500</v>
      </c>
      <c r="D28" s="2" t="s">
        <v>57</v>
      </c>
      <c r="E28" s="11" t="s">
        <v>94</v>
      </c>
    </row>
    <row r="29" customFormat="false" ht="13.5" hidden="false" customHeight="true" outlineLevel="0" collapsed="false"/>
    <row r="30" customFormat="false" ht="13.5" hidden="false" customHeight="true" outlineLevel="0" collapsed="false">
      <c r="B30" s="3" t="s">
        <v>95</v>
      </c>
    </row>
    <row r="31" customFormat="false" ht="13.5" hidden="false" customHeight="true" outlineLevel="0" collapsed="false">
      <c r="B31" s="8" t="s">
        <v>96</v>
      </c>
      <c r="C31" s="15" t="n">
        <f aca="false">C20-C28</f>
        <v>166500</v>
      </c>
      <c r="E31" s="11" t="s">
        <v>97</v>
      </c>
    </row>
    <row r="32" customFormat="false" ht="13.5" hidden="false" customHeight="true" outlineLevel="0" collapsed="false">
      <c r="B32" s="8" t="s">
        <v>98</v>
      </c>
      <c r="C32" s="15" t="n">
        <f aca="false">C28+C25</f>
        <v>226500</v>
      </c>
      <c r="E32" s="11" t="s">
        <v>99</v>
      </c>
    </row>
    <row r="33" customFormat="false" ht="13.5" hidden="false" customHeight="true" outlineLevel="0" collapsed="false">
      <c r="B33" s="8" t="s">
        <v>100</v>
      </c>
      <c r="C33" s="15" t="n">
        <f aca="false">C20-C32</f>
        <v>106500</v>
      </c>
      <c r="E33" s="11" t="s">
        <v>101</v>
      </c>
    </row>
    <row r="34" customFormat="false" ht="13.5" hidden="false" customHeight="true" outlineLevel="0" collapsed="false">
      <c r="B34" s="8" t="s">
        <v>102</v>
      </c>
      <c r="C34" s="17" t="n">
        <f aca="false">IF(C25=0,"n/a",(C31-C25)/C25)</f>
        <v>1.775</v>
      </c>
      <c r="E34" s="11" t="s">
        <v>103</v>
      </c>
    </row>
    <row r="35" customFormat="false" ht="13.5" hidden="false" customHeight="true" outlineLevel="0" collapsed="false">
      <c r="B35" s="8" t="s">
        <v>104</v>
      </c>
      <c r="C35" s="17" t="n">
        <f aca="false">IF(C20=0,"n/a",C25/C20)</f>
        <v>0.18018018018018</v>
      </c>
      <c r="E35" s="11" t="s">
        <v>105</v>
      </c>
    </row>
    <row r="37" customFormat="false" ht="15" hidden="false" customHeight="false" outlineLevel="0" collapsed="false">
      <c r="B37" s="18" t="s">
        <v>106</v>
      </c>
    </row>
  </sheetData>
  <mergeCells count="3">
    <mergeCell ref="C3:E3"/>
    <mergeCell ref="C4:E4"/>
    <mergeCell ref="C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62"/>
  </cols>
  <sheetData>
    <row r="1" customFormat="false" ht="17.35" hidden="false" customHeight="false" outlineLevel="0" collapsed="false">
      <c r="B1" s="1" t="s">
        <v>107</v>
      </c>
    </row>
    <row r="3" customFormat="false" ht="30" hidden="false" customHeight="true" outlineLevel="0" collapsed="false">
      <c r="B3" s="3" t="s">
        <v>48</v>
      </c>
      <c r="C3" s="7" t="s">
        <v>108</v>
      </c>
      <c r="D3" s="7"/>
      <c r="E3" s="7"/>
    </row>
    <row r="4" customFormat="false" ht="13.5" hidden="false" customHeight="true" outlineLevel="0" collapsed="false">
      <c r="B4" s="8" t="s">
        <v>50</v>
      </c>
      <c r="C4" s="9" t="s">
        <v>109</v>
      </c>
      <c r="D4" s="9"/>
      <c r="E4" s="9"/>
    </row>
    <row r="5" customFormat="false" ht="13.5" hidden="false" customHeight="true" outlineLevel="0" collapsed="false">
      <c r="B5" s="8" t="s">
        <v>52</v>
      </c>
      <c r="C5" s="9" t="s">
        <v>110</v>
      </c>
      <c r="D5" s="9"/>
      <c r="E5" s="9"/>
    </row>
    <row r="6" customFormat="false" ht="13.5" hidden="false" customHeight="true" outlineLevel="0" collapsed="false"/>
    <row r="7" customFormat="false" ht="13.5" hidden="false" customHeight="true" outlineLevel="0" collapsed="false">
      <c r="B7" s="3" t="s">
        <v>54</v>
      </c>
      <c r="E7" s="8" t="s">
        <v>55</v>
      </c>
    </row>
    <row r="8" customFormat="false" ht="13.5" hidden="false" customHeight="true" outlineLevel="0" collapsed="false">
      <c r="B8" s="2" t="s">
        <v>56</v>
      </c>
      <c r="C8" s="10"/>
      <c r="D8" s="2" t="s">
        <v>57</v>
      </c>
      <c r="E8" s="19" t="s">
        <v>111</v>
      </c>
    </row>
    <row r="9" customFormat="false" ht="13.5" hidden="false" customHeight="true" outlineLevel="0" collapsed="false">
      <c r="B9" s="2" t="s">
        <v>59</v>
      </c>
      <c r="C9" s="12"/>
      <c r="D9" s="2" t="s">
        <v>60</v>
      </c>
      <c r="E9" s="19" t="s">
        <v>112</v>
      </c>
    </row>
    <row r="10" customFormat="false" ht="13.5" hidden="false" customHeight="true" outlineLevel="0" collapsed="false">
      <c r="B10" s="8" t="s">
        <v>62</v>
      </c>
      <c r="C10" s="13" t="n">
        <f aca="false">C8*C9</f>
        <v>0</v>
      </c>
      <c r="D10" s="2" t="s">
        <v>57</v>
      </c>
      <c r="E10" s="11" t="s">
        <v>63</v>
      </c>
    </row>
    <row r="11" customFormat="false" ht="13.5" hidden="false" customHeight="true" outlineLevel="0" collapsed="false"/>
    <row r="12" customFormat="false" ht="13.5" hidden="false" customHeight="true" outlineLevel="0" collapsed="false">
      <c r="B12" s="3" t="s">
        <v>64</v>
      </c>
    </row>
    <row r="13" customFormat="false" ht="13.5" hidden="false" customHeight="true" outlineLevel="0" collapsed="false">
      <c r="B13" s="2" t="s">
        <v>65</v>
      </c>
      <c r="C13" s="14"/>
      <c r="D13" s="2" t="s">
        <v>66</v>
      </c>
      <c r="E13" s="19" t="s">
        <v>113</v>
      </c>
    </row>
    <row r="14" customFormat="false" ht="13.5" hidden="false" customHeight="true" outlineLevel="0" collapsed="false">
      <c r="B14" s="2" t="s">
        <v>68</v>
      </c>
      <c r="C14" s="14"/>
      <c r="D14" s="2" t="s">
        <v>66</v>
      </c>
      <c r="E14" s="19" t="s">
        <v>114</v>
      </c>
    </row>
    <row r="15" customFormat="false" ht="13.5" hidden="false" customHeight="true" outlineLevel="0" collapsed="false">
      <c r="B15" s="2" t="s">
        <v>70</v>
      </c>
      <c r="C15" s="12"/>
      <c r="D15" s="2" t="s">
        <v>71</v>
      </c>
      <c r="E15" s="19" t="s">
        <v>115</v>
      </c>
    </row>
    <row r="16" customFormat="false" ht="13.5" hidden="false" customHeight="true" outlineLevel="0" collapsed="false">
      <c r="B16" s="8" t="s">
        <v>73</v>
      </c>
      <c r="C16" s="15" t="n">
        <f aca="false">C14*C15</f>
        <v>0</v>
      </c>
      <c r="D16" s="2" t="s">
        <v>66</v>
      </c>
      <c r="E16" s="11" t="s">
        <v>74</v>
      </c>
    </row>
    <row r="17" customFormat="false" ht="13.5" hidden="false" customHeight="true" outlineLevel="0" collapsed="false">
      <c r="B17" s="8" t="s">
        <v>75</v>
      </c>
      <c r="C17" s="15" t="n">
        <f aca="false">C13+C16</f>
        <v>0</v>
      </c>
      <c r="D17" s="2" t="s">
        <v>66</v>
      </c>
      <c r="E17" s="11" t="s">
        <v>76</v>
      </c>
    </row>
    <row r="18" customFormat="false" ht="13.5" hidden="false" customHeight="true" outlineLevel="0" collapsed="false"/>
    <row r="19" customFormat="false" ht="13.5" hidden="false" customHeight="true" outlineLevel="0" collapsed="false">
      <c r="B19" s="3" t="s">
        <v>77</v>
      </c>
    </row>
    <row r="20" customFormat="false" ht="13.5" hidden="false" customHeight="true" outlineLevel="0" collapsed="false">
      <c r="B20" s="8" t="s">
        <v>78</v>
      </c>
      <c r="C20" s="15" t="n">
        <f aca="false">C10*C17</f>
        <v>0</v>
      </c>
      <c r="D20" s="2" t="s">
        <v>57</v>
      </c>
      <c r="E20" s="11" t="s">
        <v>79</v>
      </c>
    </row>
    <row r="21" customFormat="false" ht="13.5" hidden="false" customHeight="true" outlineLevel="0" collapsed="false"/>
    <row r="22" customFormat="false" ht="13.5" hidden="false" customHeight="true" outlineLevel="0" collapsed="false">
      <c r="B22" s="3" t="s">
        <v>80</v>
      </c>
      <c r="E22" s="8" t="s">
        <v>55</v>
      </c>
    </row>
    <row r="23" customFormat="false" ht="13.5" hidden="false" customHeight="true" outlineLevel="0" collapsed="false">
      <c r="B23" s="2" t="s">
        <v>81</v>
      </c>
      <c r="C23" s="16"/>
      <c r="D23" s="2"/>
      <c r="E23" s="11"/>
    </row>
    <row r="24" customFormat="false" ht="13.5" hidden="false" customHeight="true" outlineLevel="0" collapsed="false">
      <c r="B24" s="2" t="s">
        <v>84</v>
      </c>
      <c r="C24" s="12"/>
      <c r="D24" s="2" t="s">
        <v>85</v>
      </c>
      <c r="E24" s="19" t="s">
        <v>116</v>
      </c>
    </row>
    <row r="25" customFormat="false" ht="13.5" hidden="false" customHeight="true" outlineLevel="0" collapsed="false">
      <c r="B25" s="2" t="s">
        <v>87</v>
      </c>
      <c r="C25" s="14"/>
      <c r="D25" s="2" t="s">
        <v>57</v>
      </c>
      <c r="E25" s="19" t="s">
        <v>117</v>
      </c>
    </row>
    <row r="26" customFormat="false" ht="13.5" hidden="false" customHeight="true" outlineLevel="0" collapsed="false">
      <c r="B26" s="8" t="s">
        <v>89</v>
      </c>
      <c r="C26" s="17" t="n">
        <f aca="false">C9*(1-C24)</f>
        <v>0</v>
      </c>
      <c r="E26" s="11" t="s">
        <v>90</v>
      </c>
    </row>
    <row r="27" customFormat="false" ht="13.5" hidden="false" customHeight="true" outlineLevel="0" collapsed="false">
      <c r="B27" s="8" t="s">
        <v>91</v>
      </c>
      <c r="C27" s="13" t="n">
        <f aca="false">C8*C26</f>
        <v>0</v>
      </c>
      <c r="D27" s="2" t="s">
        <v>57</v>
      </c>
      <c r="E27" s="11" t="s">
        <v>92</v>
      </c>
    </row>
    <row r="28" customFormat="false" ht="13.5" hidden="false" customHeight="true" outlineLevel="0" collapsed="false">
      <c r="B28" s="8" t="s">
        <v>93</v>
      </c>
      <c r="C28" s="15" t="n">
        <f aca="false">C27*C17</f>
        <v>0</v>
      </c>
      <c r="D28" s="2" t="s">
        <v>57</v>
      </c>
      <c r="E28" s="11" t="s">
        <v>94</v>
      </c>
    </row>
    <row r="29" customFormat="false" ht="13.5" hidden="false" customHeight="true" outlineLevel="0" collapsed="false"/>
    <row r="30" customFormat="false" ht="13.5" hidden="false" customHeight="true" outlineLevel="0" collapsed="false">
      <c r="B30" s="3" t="s">
        <v>95</v>
      </c>
    </row>
    <row r="31" customFormat="false" ht="13.5" hidden="false" customHeight="true" outlineLevel="0" collapsed="false">
      <c r="B31" s="8" t="s">
        <v>96</v>
      </c>
      <c r="C31" s="15" t="n">
        <f aca="false">C20-C28</f>
        <v>0</v>
      </c>
      <c r="E31" s="11" t="s">
        <v>97</v>
      </c>
    </row>
    <row r="32" customFormat="false" ht="13.5" hidden="false" customHeight="true" outlineLevel="0" collapsed="false">
      <c r="B32" s="8" t="s">
        <v>98</v>
      </c>
      <c r="C32" s="15" t="n">
        <f aca="false">C28+C25</f>
        <v>0</v>
      </c>
      <c r="E32" s="11" t="s">
        <v>99</v>
      </c>
    </row>
    <row r="33" customFormat="false" ht="13.5" hidden="false" customHeight="true" outlineLevel="0" collapsed="false">
      <c r="B33" s="8" t="s">
        <v>100</v>
      </c>
      <c r="C33" s="15" t="n">
        <f aca="false">C20-C32</f>
        <v>0</v>
      </c>
      <c r="E33" s="11" t="s">
        <v>101</v>
      </c>
    </row>
    <row r="34" customFormat="false" ht="13.5" hidden="false" customHeight="true" outlineLevel="0" collapsed="false">
      <c r="B34" s="8" t="s">
        <v>102</v>
      </c>
      <c r="C34" s="17" t="str">
        <f aca="false">IF(C25=0,"n/a",(C31-C25)/C25)</f>
        <v>n/a</v>
      </c>
      <c r="E34" s="11" t="s">
        <v>103</v>
      </c>
    </row>
    <row r="35" customFormat="false" ht="13.5" hidden="false" customHeight="true" outlineLevel="0" collapsed="false">
      <c r="B35" s="8" t="s">
        <v>104</v>
      </c>
      <c r="C35" s="17" t="str">
        <f aca="false">IF(C20=0,"n/a",C25/C20)</f>
        <v>n/a</v>
      </c>
      <c r="E35" s="11" t="s">
        <v>105</v>
      </c>
    </row>
    <row r="37" customFormat="false" ht="15" hidden="false" customHeight="false" outlineLevel="0" collapsed="false">
      <c r="B37" s="18" t="s">
        <v>106</v>
      </c>
    </row>
  </sheetData>
  <mergeCells count="3">
    <mergeCell ref="C3:E3"/>
    <mergeCell ref="C4:E4"/>
    <mergeCell ref="C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17.35" hidden="false" customHeight="false" outlineLevel="0" collapsed="false">
      <c r="B1" s="1" t="s">
        <v>118</v>
      </c>
    </row>
    <row r="2" customFormat="false" ht="27.75" hidden="false" customHeight="true" outlineLevel="0" collapsed="false">
      <c r="B2" s="7" t="s">
        <v>119</v>
      </c>
      <c r="C2" s="7"/>
      <c r="D2" s="7"/>
      <c r="E2" s="7"/>
      <c r="F2" s="7"/>
      <c r="G2" s="7"/>
      <c r="H2" s="7"/>
    </row>
    <row r="4" customFormat="false" ht="15" hidden="false" customHeight="false" outlineLevel="0" collapsed="false">
      <c r="B4" s="3" t="s">
        <v>120</v>
      </c>
    </row>
    <row r="5" customFormat="false" ht="15" hidden="false" customHeight="false" outlineLevel="0" collapsed="false">
      <c r="B5" s="20" t="s">
        <v>84</v>
      </c>
      <c r="C5" s="21" t="n">
        <v>0.2</v>
      </c>
      <c r="D5" s="21" t="n">
        <v>0.3</v>
      </c>
      <c r="E5" s="21" t="n">
        <v>0.4</v>
      </c>
      <c r="F5" s="21" t="n">
        <v>0.5</v>
      </c>
      <c r="G5" s="21" t="n">
        <v>0.65</v>
      </c>
    </row>
    <row r="6" customFormat="false" ht="15" hidden="false" customHeight="false" outlineLevel="0" collapsed="false">
      <c r="B6" s="2" t="s">
        <v>93</v>
      </c>
      <c r="C6" s="22" t="n">
        <f aca="false">'Oscorp phishing'!$C$8*('Oscorp phishing'!$C$9*(1-C5))*'Oscorp phishing'!$C$17</f>
        <v>266400</v>
      </c>
      <c r="D6" s="22" t="n">
        <f aca="false">'Oscorp phishing'!$C$8*('Oscorp phishing'!$C$9*(1-D5))*'Oscorp phishing'!$C$17</f>
        <v>233100</v>
      </c>
      <c r="E6" s="22" t="n">
        <f aca="false">'Oscorp phishing'!$C$8*('Oscorp phishing'!$C$9*(1-E5))*'Oscorp phishing'!$C$17</f>
        <v>199800</v>
      </c>
      <c r="F6" s="22" t="n">
        <f aca="false">'Oscorp phishing'!$C$8*('Oscorp phishing'!$C$9*(1-F5))*'Oscorp phishing'!$C$17</f>
        <v>166500</v>
      </c>
      <c r="G6" s="22" t="n">
        <f aca="false">'Oscorp phishing'!$C$8*('Oscorp phishing'!$C$9*(1-G5))*'Oscorp phishing'!$C$17</f>
        <v>116550</v>
      </c>
    </row>
    <row r="7" customFormat="false" ht="15" hidden="false" customHeight="false" outlineLevel="0" collapsed="false">
      <c r="B7" s="8" t="s">
        <v>100</v>
      </c>
      <c r="C7" s="15" t="n">
        <f aca="false">'Oscorp phishing'!$C$20-C6-'Oscorp phishing'!$C$25</f>
        <v>6600</v>
      </c>
      <c r="D7" s="15" t="n">
        <f aca="false">'Oscorp phishing'!$C$20-D6-'Oscorp phishing'!$C$25</f>
        <v>39900</v>
      </c>
      <c r="E7" s="15" t="n">
        <f aca="false">'Oscorp phishing'!$C$20-E6-'Oscorp phishing'!$C$25</f>
        <v>73200</v>
      </c>
      <c r="F7" s="15" t="n">
        <f aca="false">'Oscorp phishing'!$C$20-F6-'Oscorp phishing'!$C$25</f>
        <v>106500</v>
      </c>
      <c r="G7" s="15" t="n">
        <f aca="false">'Oscorp phishing'!$C$20-G6-'Oscorp phishing'!$C$25</f>
        <v>156450</v>
      </c>
    </row>
    <row r="10" customFormat="false" ht="15" hidden="false" customHeight="false" outlineLevel="0" collapsed="false">
      <c r="B10" s="3" t="s">
        <v>121</v>
      </c>
    </row>
    <row r="11" customFormat="false" ht="15" hidden="false" customHeight="false" outlineLevel="0" collapsed="false">
      <c r="B11" s="20" t="s">
        <v>122</v>
      </c>
      <c r="C11" s="23" t="n">
        <v>1500</v>
      </c>
      <c r="D11" s="23" t="n">
        <v>2250</v>
      </c>
      <c r="E11" s="23" t="n">
        <v>3000</v>
      </c>
      <c r="F11" s="23" t="n">
        <v>4500</v>
      </c>
      <c r="G11" s="23" t="n">
        <v>6000</v>
      </c>
    </row>
    <row r="12" customFormat="false" ht="15" hidden="false" customHeight="false" outlineLevel="0" collapsed="false">
      <c r="B12" s="24" t="n">
        <v>0.001</v>
      </c>
      <c r="C12" s="22" t="n">
        <f aca="false">C$11*$B12*'Oscorp phishing'!$C$17</f>
        <v>83250</v>
      </c>
      <c r="D12" s="22" t="n">
        <f aca="false">D$11*$B12*'Oscorp phishing'!$C$17</f>
        <v>124875</v>
      </c>
      <c r="E12" s="22" t="n">
        <f aca="false">E$11*$B12*'Oscorp phishing'!$C$17</f>
        <v>166500</v>
      </c>
      <c r="F12" s="22" t="n">
        <f aca="false">F$11*$B12*'Oscorp phishing'!$C$17</f>
        <v>249750</v>
      </c>
      <c r="G12" s="22" t="n">
        <f aca="false">G$11*$B12*'Oscorp phishing'!$C$17</f>
        <v>333000</v>
      </c>
    </row>
    <row r="13" customFormat="false" ht="15" hidden="false" customHeight="false" outlineLevel="0" collapsed="false">
      <c r="B13" s="24" t="n">
        <v>0.0015</v>
      </c>
      <c r="C13" s="22" t="n">
        <f aca="false">C$11*$B13*'Oscorp phishing'!$C$17</f>
        <v>124875</v>
      </c>
      <c r="D13" s="22" t="n">
        <f aca="false">D$11*$B13*'Oscorp phishing'!$C$17</f>
        <v>187312.5</v>
      </c>
      <c r="E13" s="22" t="n">
        <f aca="false">E$11*$B13*'Oscorp phishing'!$C$17</f>
        <v>249750</v>
      </c>
      <c r="F13" s="22" t="n">
        <f aca="false">F$11*$B13*'Oscorp phishing'!$C$17</f>
        <v>374625</v>
      </c>
      <c r="G13" s="22" t="n">
        <f aca="false">G$11*$B13*'Oscorp phishing'!$C$17</f>
        <v>499500</v>
      </c>
    </row>
    <row r="14" customFormat="false" ht="15" hidden="false" customHeight="false" outlineLevel="0" collapsed="false">
      <c r="B14" s="24" t="n">
        <v>0.002</v>
      </c>
      <c r="C14" s="22" t="n">
        <f aca="false">C$11*$B14*'Oscorp phishing'!$C$17</f>
        <v>166500</v>
      </c>
      <c r="D14" s="22" t="n">
        <f aca="false">D$11*$B14*'Oscorp phishing'!$C$17</f>
        <v>249750</v>
      </c>
      <c r="E14" s="22" t="n">
        <f aca="false">E$11*$B14*'Oscorp phishing'!$C$17</f>
        <v>333000</v>
      </c>
      <c r="F14" s="22" t="n">
        <f aca="false">F$11*$B14*'Oscorp phishing'!$C$17</f>
        <v>499500</v>
      </c>
      <c r="G14" s="22" t="n">
        <f aca="false">G$11*$B14*'Oscorp phishing'!$C$17</f>
        <v>666000</v>
      </c>
    </row>
    <row r="15" customFormat="false" ht="15" hidden="false" customHeight="false" outlineLevel="0" collapsed="false">
      <c r="B15" s="24" t="n">
        <v>0.003</v>
      </c>
      <c r="C15" s="22" t="n">
        <f aca="false">C$11*$B15*'Oscorp phishing'!$C$17</f>
        <v>249750</v>
      </c>
      <c r="D15" s="22" t="n">
        <f aca="false">D$11*$B15*'Oscorp phishing'!$C$17</f>
        <v>374625</v>
      </c>
      <c r="E15" s="22" t="n">
        <f aca="false">E$11*$B15*'Oscorp phishing'!$C$17</f>
        <v>499500</v>
      </c>
      <c r="F15" s="22" t="n">
        <f aca="false">F$11*$B15*'Oscorp phishing'!$C$17</f>
        <v>749250</v>
      </c>
      <c r="G15" s="22" t="n">
        <f aca="false">G$11*$B15*'Oscorp phishing'!$C$17</f>
        <v>999000</v>
      </c>
    </row>
    <row r="16" customFormat="false" ht="15" hidden="false" customHeight="false" outlineLevel="0" collapsed="false">
      <c r="B16" s="24" t="n">
        <v>0.004</v>
      </c>
      <c r="C16" s="22" t="n">
        <f aca="false">C$11*$B16*'Oscorp phishing'!$C$17</f>
        <v>333000</v>
      </c>
      <c r="D16" s="22" t="n">
        <f aca="false">D$11*$B16*'Oscorp phishing'!$C$17</f>
        <v>499500</v>
      </c>
      <c r="E16" s="22" t="n">
        <f aca="false">E$11*$B16*'Oscorp phishing'!$C$17</f>
        <v>666000</v>
      </c>
      <c r="F16" s="22" t="n">
        <f aca="false">F$11*$B16*'Oscorp phishing'!$C$17</f>
        <v>999000</v>
      </c>
      <c r="G16" s="22" t="n">
        <f aca="false">G$11*$B16*'Oscorp phishing'!$C$17</f>
        <v>1332000</v>
      </c>
    </row>
    <row r="18" customFormat="false" ht="15" hidden="false" customHeight="false" outlineLevel="0" collapsed="false">
      <c r="B18" s="3" t="s">
        <v>123</v>
      </c>
    </row>
    <row r="19" customFormat="false" ht="15" hidden="false" customHeight="false" outlineLevel="0" collapsed="false">
      <c r="B19" s="20" t="s">
        <v>124</v>
      </c>
      <c r="C19" s="25" t="n">
        <v>80000</v>
      </c>
      <c r="D19" s="25" t="n">
        <v>150000</v>
      </c>
      <c r="E19" s="25" t="n">
        <v>250000</v>
      </c>
      <c r="F19" s="25" t="n">
        <v>600000</v>
      </c>
      <c r="G19" s="25" t="n">
        <v>1200000</v>
      </c>
    </row>
    <row r="20" customFormat="false" ht="15" hidden="false" customHeight="false" outlineLevel="0" collapsed="false">
      <c r="B20" s="21" t="n">
        <v>0.05</v>
      </c>
      <c r="C20" s="22" t="n">
        <f aca="false">'Oscorp phishing'!$C$10*('Oscorp phishing'!$C$13+C$19*$B20)</f>
        <v>132000</v>
      </c>
      <c r="D20" s="22" t="n">
        <f aca="false">'Oscorp phishing'!$C$10*('Oscorp phishing'!$C$13+D$19*$B20)</f>
        <v>153000</v>
      </c>
      <c r="E20" s="22" t="n">
        <f aca="false">'Oscorp phishing'!$C$10*('Oscorp phishing'!$C$13+E$19*$B20)</f>
        <v>183000</v>
      </c>
      <c r="F20" s="22" t="n">
        <f aca="false">'Oscorp phishing'!$C$10*('Oscorp phishing'!$C$13+F$19*$B20)</f>
        <v>288000</v>
      </c>
      <c r="G20" s="22" t="n">
        <f aca="false">'Oscorp phishing'!$C$10*('Oscorp phishing'!$C$13+G$19*$B20)</f>
        <v>468000</v>
      </c>
    </row>
    <row r="21" customFormat="false" ht="15" hidden="false" customHeight="false" outlineLevel="0" collapsed="false">
      <c r="B21" s="21" t="n">
        <v>0.1</v>
      </c>
      <c r="C21" s="22" t="n">
        <f aca="false">'Oscorp phishing'!$C$10*('Oscorp phishing'!$C$13+C$19*$B21)</f>
        <v>156000</v>
      </c>
      <c r="D21" s="22" t="n">
        <f aca="false">'Oscorp phishing'!$C$10*('Oscorp phishing'!$C$13+D$19*$B21)</f>
        <v>198000</v>
      </c>
      <c r="E21" s="22" t="n">
        <f aca="false">'Oscorp phishing'!$C$10*('Oscorp phishing'!$C$13+E$19*$B21)</f>
        <v>258000</v>
      </c>
      <c r="F21" s="22" t="n">
        <f aca="false">'Oscorp phishing'!$C$10*('Oscorp phishing'!$C$13+F$19*$B21)</f>
        <v>468000</v>
      </c>
      <c r="G21" s="22" t="n">
        <f aca="false">'Oscorp phishing'!$C$10*('Oscorp phishing'!$C$13+G$19*$B21)</f>
        <v>828000</v>
      </c>
    </row>
    <row r="22" customFormat="false" ht="15" hidden="false" customHeight="false" outlineLevel="0" collapsed="false">
      <c r="B22" s="21" t="n">
        <v>0.15</v>
      </c>
      <c r="C22" s="22" t="n">
        <f aca="false">'Oscorp phishing'!$C$10*('Oscorp phishing'!$C$13+C$19*$B22)</f>
        <v>180000</v>
      </c>
      <c r="D22" s="22" t="n">
        <f aca="false">'Oscorp phishing'!$C$10*('Oscorp phishing'!$C$13+D$19*$B22)</f>
        <v>243000</v>
      </c>
      <c r="E22" s="22" t="n">
        <f aca="false">'Oscorp phishing'!$C$10*('Oscorp phishing'!$C$13+E$19*$B22)</f>
        <v>333000</v>
      </c>
      <c r="F22" s="22" t="n">
        <f aca="false">'Oscorp phishing'!$C$10*('Oscorp phishing'!$C$13+F$19*$B22)</f>
        <v>648000</v>
      </c>
      <c r="G22" s="22" t="n">
        <f aca="false">'Oscorp phishing'!$C$10*('Oscorp phishing'!$C$13+G$19*$B22)</f>
        <v>1188000</v>
      </c>
    </row>
    <row r="23" customFormat="false" ht="15" hidden="false" customHeight="false" outlineLevel="0" collapsed="false">
      <c r="B23" s="21" t="n">
        <v>0.25</v>
      </c>
      <c r="C23" s="22" t="n">
        <f aca="false">'Oscorp phishing'!$C$10*('Oscorp phishing'!$C$13+C$19*$B23)</f>
        <v>228000</v>
      </c>
      <c r="D23" s="22" t="n">
        <f aca="false">'Oscorp phishing'!$C$10*('Oscorp phishing'!$C$13+D$19*$B23)</f>
        <v>333000</v>
      </c>
      <c r="E23" s="22" t="n">
        <f aca="false">'Oscorp phishing'!$C$10*('Oscorp phishing'!$C$13+E$19*$B23)</f>
        <v>483000</v>
      </c>
      <c r="F23" s="22" t="n">
        <f aca="false">'Oscorp phishing'!$C$10*('Oscorp phishing'!$C$13+F$19*$B23)</f>
        <v>1008000</v>
      </c>
      <c r="G23" s="22" t="n">
        <f aca="false">'Oscorp phishing'!$C$10*('Oscorp phishing'!$C$13+G$19*$B23)</f>
        <v>1908000</v>
      </c>
    </row>
    <row r="24" customFormat="false" ht="15" hidden="false" customHeight="false" outlineLevel="0" collapsed="false">
      <c r="B24" s="21" t="n">
        <v>0.4</v>
      </c>
      <c r="C24" s="22" t="n">
        <f aca="false">'Oscorp phishing'!$C$10*('Oscorp phishing'!$C$13+C$19*$B24)</f>
        <v>300000</v>
      </c>
      <c r="D24" s="22" t="n">
        <f aca="false">'Oscorp phishing'!$C$10*('Oscorp phishing'!$C$13+D$19*$B24)</f>
        <v>468000</v>
      </c>
      <c r="E24" s="22" t="n">
        <f aca="false">'Oscorp phishing'!$C$10*('Oscorp phishing'!$C$13+E$19*$B24)</f>
        <v>708000</v>
      </c>
      <c r="F24" s="22" t="n">
        <f aca="false">'Oscorp phishing'!$C$10*('Oscorp phishing'!$C$13+F$19*$B24)</f>
        <v>1548000</v>
      </c>
      <c r="G24" s="22" t="n">
        <f aca="false">'Oscorp phishing'!$C$10*('Oscorp phishing'!$C$13+G$19*$B24)</f>
        <v>2988000</v>
      </c>
    </row>
    <row r="26" customFormat="false" ht="15" hidden="false" customHeight="false" outlineLevel="0" collapsed="false">
      <c r="B26" s="3" t="s">
        <v>125</v>
      </c>
    </row>
    <row r="27" customFormat="false" ht="30" hidden="false" customHeight="true" outlineLevel="0" collapsed="false">
      <c r="B27" s="7" t="s">
        <v>126</v>
      </c>
      <c r="C27" s="7"/>
      <c r="D27" s="7"/>
      <c r="E27" s="7"/>
      <c r="F27" s="7"/>
      <c r="G27" s="7"/>
      <c r="H27" s="7"/>
    </row>
    <row r="28" customFormat="false" ht="15" hidden="false" customHeight="false" outlineLevel="0" collapsed="false">
      <c r="B28" s="7"/>
      <c r="C28" s="7"/>
      <c r="D28" s="7"/>
      <c r="E28" s="7"/>
      <c r="F28" s="7"/>
      <c r="G28" s="7"/>
      <c r="H28" s="7"/>
    </row>
  </sheetData>
  <mergeCells count="2">
    <mergeCell ref="B2:H2"/>
    <mergeCell ref="B27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2026-09-24T03:27:15Z</dcterms:created>
  <dc:creator>openpyxl</dc:creator>
  <dc:description/>
  <dc:language>en-US</dc:language>
  <cp:lastModifiedBy/>
  <dcterms:modified xsi:type="dcterms:W3CDTF">2026-09-24T03:27:15Z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