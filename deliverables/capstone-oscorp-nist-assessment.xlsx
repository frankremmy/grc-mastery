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ummary" sheetId="1" state="visible" r:id="rId3"/>
    <sheet name="Identify" sheetId="2" state="visible" r:id="rId4"/>
    <sheet name="Protect" sheetId="3" state="visible" r:id="rId5"/>
    <sheet name="Detect" sheetId="4" state="visible" r:id="rId6"/>
    <sheet name="Respond" sheetId="5" state="visible" r:id="rId7"/>
    <sheet name="Recover" sheetId="6" state="visible" r:id="rId8"/>
  </sheets>
  <definedNames>
    <definedName function="false" hidden="false" localSheetId="3" name="_xlnm.Print_Titles" vbProcedure="false">Detect!$1:$1</definedName>
    <definedName function="false" hidden="false" localSheetId="1" name="_xlnm.Print_Titles" vbProcedure="false">Identify!$1:$1</definedName>
    <definedName function="false" hidden="false" localSheetId="2" name="_xlnm.Print_Titles" vbProcedure="false">Protect!$1:$1</definedName>
    <definedName function="false" hidden="false" localSheetId="5" name="_xlnm.Print_Titles" vbProcedure="false">Recover!$1:$1</definedName>
    <definedName function="false" hidden="false" localSheetId="4" name="_xlnm.Print_Titles" vbProcedure="false">Respond!$1:$1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<sst xmlns="http://schemas.openxmlformats.org/spreadsheetml/2006/main" count="480" uniqueCount="356">
  <si>
    <t xml:space="preserve">Oscorp — NIST CSF assessment summary</t>
  </si>
  <si>
    <t xml:space="preserve">Assessed by Frank Remmy against the Oscorp current-state notes. Pass/Fail per control description.</t>
  </si>
  <si>
    <t xml:space="preserve">Function</t>
  </si>
  <si>
    <t xml:space="preserve">Pass</t>
  </si>
  <si>
    <t xml:space="preserve">Fail</t>
  </si>
  <si>
    <t xml:space="preserve">Total</t>
  </si>
  <si>
    <t xml:space="preserve">Pass rate</t>
  </si>
  <si>
    <t xml:space="preserve">Identify</t>
  </si>
  <si>
    <t xml:space="preserve">Protect</t>
  </si>
  <si>
    <t xml:space="preserve">Detect</t>
  </si>
  <si>
    <t xml:space="preserve">Respond</t>
  </si>
  <si>
    <t xml:space="preserve">Recover</t>
  </si>
  <si>
    <t xml:space="preserve">TOTAL</t>
  </si>
  <si>
    <t xml:space="preserve">Note: several Protect passes are Not Applicable (no software development, no on-premises server estate) rather than implemented controls. Genuine control coverage is lower than the pass rate suggests.</t>
  </si>
  <si>
    <t xml:space="preserve">Sub-Category</t>
  </si>
  <si>
    <t xml:space="preserve">Control Objective</t>
  </si>
  <si>
    <t xml:space="preserve">Control description</t>
  </si>
  <si>
    <t xml:space="preserve">Questions to ask</t>
  </si>
  <si>
    <t xml:space="preserve">Pass/ Fail</t>
  </si>
  <si>
    <t xml:space="preserve">Comments</t>
  </si>
  <si>
    <t xml:space="preserve">Asset Management</t>
  </si>
  <si>
    <t xml:space="preserve">The data, personnel, devices, systems, and facilities that enable the organization to achieve business purposes are identified and managed consistent with their relative importance to business objectives and the organization’s risk strategy.</t>
  </si>
  <si>
    <t xml:space="preserve">Physical devices and systems within the organization are inventoried.</t>
  </si>
  <si>
    <t xml:space="preserve">1. Do you an up to date CMDB or asset inventory of all physical (hardware) device? 
2. How you perform periodic review on the CMDB to ensure that it's accurate and up to date?</t>
  </si>
  <si>
    <t xml:space="preserve">Spreadsheet of laptop serials, models and warranty only. No servers, network devices or mobile; no evidence of periodic review. An inventory that is never reconciled is not an inventory.</t>
  </si>
  <si>
    <t xml:space="preserve">Software platforms and applications within the organization are inventoried.</t>
  </si>
  <si>
    <t xml:space="preserve">1. Do you an up to date CMDB or asset inventory of all software assets such as critical applications? 
2. How you perform periodic review on the CMDB to ensure that it's accurate and up to date?</t>
  </si>
  <si>
    <t xml:space="preserve">No software or application inventory. Oscorp is exclusively SaaS, so the SaaS estate IS the application estate and is uncatalogued.</t>
  </si>
  <si>
    <t xml:space="preserve">Organizational communication and data flows are mapped.</t>
  </si>
  <si>
    <t xml:space="preserve">1.Do you have clear, up to date, network diagrams - including the cloud environment?</t>
  </si>
  <si>
    <t xml:space="preserve">IT team maintains up-to-date network diagrams including the cloud environment.</t>
  </si>
  <si>
    <t xml:space="preserve">External information systems are catalogued.</t>
  </si>
  <si>
    <t xml:space="preserve">1. Does your CMDB include Software-as-a-Service (SaaS) instance catalogued and classified as per sensitivity and criticality?
2. Do you have an up to date inventory of all third party suppliers?</t>
  </si>
  <si>
    <t xml:space="preserve">No SaaS catalogue and no third-party supplier inventory. No TPRM function exists.</t>
  </si>
  <si>
    <t xml:space="preserve">Resources (e.g., hardware, devices, data and software) are prioritized based on their classification, criticality and business value.</t>
  </si>
  <si>
    <t xml:space="preserve">1. Are assets in the CMDB classified based on sensitivity and criticality?</t>
  </si>
  <si>
    <t xml:space="preserve">No information classification scheme exists, so assets cannot be prioritised by sensitivity or criticality.</t>
  </si>
  <si>
    <t xml:space="preserve">Cybersecurity roles and responsibilities for the entire workforce and third-party stakeholders (e.g., suppliers, customers, partners) are established.</t>
  </si>
  <si>
    <t xml:space="preserve">1. Are cyber security roles and responsibilities defined? 
2. Is there a clear information security policy outlining roles and responsibilities for cyber security (including third part suppliers) ?</t>
  </si>
  <si>
    <t xml:space="preserve">Cyber security roles and responsibilities are not defined; they are informally assigned to the IT team. No information security policy exists.</t>
  </si>
  <si>
    <t xml:space="preserve">Business Environment</t>
  </si>
  <si>
    <t xml:space="preserve">The organization’s mission, objectives, stakeholders, and activities are understood and prioritized; this information is used to inform cybersecurity roles, responsibilities, and risk management decisions.</t>
  </si>
  <si>
    <t xml:space="preserve">The organization’s role in the supply chain is identified and communicated.</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</si>
  <si>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</si>
  <si>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 xml:space="preserve">ASSUMPTION: notes are silent. No supply chain documentation and no TPRM, so the role is not identified or communicated.</t>
  </si>
  <si>
    <t xml:space="preserve">The organization’s place in critical infrastructure and its industry sector is identified and communicated.</t>
  </si>
  <si>
    <t xml:space="preserve">1. Is this organisation considered 'critical infrastructure' ? Examples of this will include intelligence agenies, national communication organisations, transportation, etc. These are organisations that are part of 'national security'. If the answer is YES, then this needs to be documented in the information security policy and communicated clearly to senior stakeholders.</t>
  </si>
  <si>
    <t xml:space="preserve">Not determined. Pharmaceutical research/manufacture falls within NIS2 Annex I sectors; Oscorp has not established or communicated its regulatory status.</t>
  </si>
  <si>
    <t xml:space="preserve">Priorities for organizational mission, objectives and activities are established and communicated.</t>
  </si>
  <si>
    <t xml:space="preserve">The organisation has a clear business strategy and mission statement.</t>
  </si>
  <si>
    <t xml:space="preserve">CEO has a clear, communicated business strategy for the organisation.</t>
  </si>
  <si>
    <t xml:space="preserve">Dependencies and critical functions for delivery of critical services are established.</t>
  </si>
  <si>
    <t xml:space="preserve">1. Does the organisation have key critical services and applications inventories and classified?
2. Does the organisation have business continuity plans and disaster recovery plans for key critical services?</t>
  </si>
  <si>
    <t xml:space="preserve">BCP and DR plans exist, but critical services and applications are not inventoried or classified, so dependencies are not formally established.</t>
  </si>
  <si>
    <t xml:space="preserve">Resilience requirements to support delivery of critical services are established.</t>
  </si>
  <si>
    <t xml:space="preserve">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</si>
  <si>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 xml:space="preserve">Internal resilience is strong (BCP, DR testing, tested backups). Third-party resilience due diligence — SLAs, BCPs, SOC reports — is entirely absent.</t>
  </si>
  <si>
    <t xml:space="preserve">Governance </t>
  </si>
  <si>
    <t xml:space="preserve">The policies, procedures, and processes to manage and monitor the organization’s regulatory, legal, risk, environmental, and operational requirements are understood and inform the management of cybersecurity risk.</t>
  </si>
  <si>
    <t xml:space="preserve">Organizational information security policy is established.</t>
  </si>
  <si>
    <t xml:space="preserve">1. Does the organisation have an information security policy?</t>
  </si>
  <si>
    <t xml:space="preserve">No formal information security policy. One generic IT policy only.</t>
  </si>
  <si>
    <t xml:space="preserve">Information security roles and responsibilities are coordinated and aligned with internal roles and external partners.</t>
  </si>
  <si>
    <t xml:space="preserve">1. Have information security roles and responsibility been documented and communicated with internal and external stakeholders (i.e. third party suppliers) ?</t>
  </si>
  <si>
    <t xml:space="preserve">Roles are undocumented internally and there is no third-party engagement on security at all.</t>
  </si>
  <si>
    <t xml:space="preserve">Legal and regulatory requirements regarding cybersecurity, including privacy and civil liberties obligations, are understood and managed.</t>
  </si>
  <si>
    <t xml:space="preserve">1. The organisation's legal and regulatory responsbilities from an information security point of view is well documented. This includes complying with privacy laws and other cyber security regulations. </t>
  </si>
  <si>
    <t xml:space="preserve">No documented understanding of legal or regulatory obligations, including privacy law.</t>
  </si>
  <si>
    <t xml:space="preserve">Governance and risk management processes address cybersecurity risk.</t>
  </si>
  <si>
    <t xml:space="preserve">1. The organisation has a mature and established processes and procedures to manage cyber security risks.
2. The board of directors have oversight of information security issues (governance)</t>
  </si>
  <si>
    <t xml:space="preserve">No technology or cyber risk process. The risk team covers financial risk only. No evidence of board oversight of cyber risk.</t>
  </si>
  <si>
    <t xml:space="preserve">Risk Assessment</t>
  </si>
  <si>
    <t xml:space="preserve">The organization understands the cybersecurity risk to organizational operations (including mission, functions, image, or reputation), organizational assets, and individuals.</t>
  </si>
  <si>
    <t xml:space="preserve">Asset vulnerabilities are identified and documented.</t>
  </si>
  <si>
    <t xml:space="preserve">1. Vulnerabilty scans are coduncted and vulnerabilities are analysed and documented.</t>
  </si>
  <si>
    <t xml:space="preserve">Qualys is deployed and reports a large volume of high and severe findings, but use is ad hoc and findings are not analysed, documented or tracked.</t>
  </si>
  <si>
    <t xml:space="preserve">Threat and vulnerability information is received from information sharing forums and sources.</t>
  </si>
  <si>
    <t xml:space="preserve">1. vulnerability management program includes subscriptions to various threat intelligence sources to get information about the latest threats and vulnerabilities.</t>
  </si>
  <si>
    <t xml:space="preserve">No threat intelligence sources or information sharing subscriptions.</t>
  </si>
  <si>
    <t xml:space="preserve">Threats, both internal and external, are identified and documented.</t>
  </si>
  <si>
    <t xml:space="preserve">1. Cyber security threats assessments have been conducted
2. threar actors have been identified, assessed, and documented</t>
  </si>
  <si>
    <t xml:space="preserve">No threat assessment has been conducted; threat actors are not identified or documented.</t>
  </si>
  <si>
    <t xml:space="preserve">Potential business impacts and likelihoods are identified.</t>
  </si>
  <si>
    <t xml:space="preserve">1. Cyber seucrity risk assessments include business impact and likelihood as a critical step to determine the level of risk</t>
  </si>
  <si>
    <t xml:space="preserve">No cyber risk assessment process exists, so impact and likelihood are not assessed.</t>
  </si>
  <si>
    <t xml:space="preserve">Threats, vulnerabilities, likelihoods and impacts are used to determine risk.</t>
  </si>
  <si>
    <t xml:space="preserve">1. Determine if the risk assessment process identifies reasonably foreseeable internal and external threats and vulnerabilities, the likelihood and potential damage of those threats, and the sufficiency of controls to mitigate the risk associated with those threats.</t>
  </si>
  <si>
    <t xml:space="preserve">No cyber risk assessment methodology in place.</t>
  </si>
  <si>
    <t xml:space="preserve">Risk responses are identified and prioritized.</t>
  </si>
  <si>
    <t xml:space="preserve">1. Are recommendations/outcomes of the risk assessment process prioritised based on criticality and impact to the business?</t>
  </si>
  <si>
    <t xml:space="preserve">No risk assessment output exists to prioritise.</t>
  </si>
  <si>
    <t xml:space="preserve">Risk Management Strategy</t>
  </si>
  <si>
    <t xml:space="preserve">The organization’s priorities, constraints, risk tolerances, and assumptions are established and used to support operational risk decisions.</t>
  </si>
  <si>
    <t xml:space="preserve">Risk management processes are established, managed and agreed to by organizational stakeholders.</t>
  </si>
  <si>
    <t xml:space="preserve">1. Has the risk management process been endorsed by senior management?
</t>
  </si>
  <si>
    <t xml:space="preserve">No cyber risk management process; nothing for stakeholders to endorse.</t>
  </si>
  <si>
    <t xml:space="preserve">Organizational risk tolerance is determined and clearly expressed.</t>
  </si>
  <si>
    <t xml:space="preserve">1. Determine if the organization has defined and approved a cyber risk appetite statement. This will be derived from the risk tolerance of the organisation.</t>
  </si>
  <si>
    <t xml:space="preserve">No cyber risk appetite or tolerance statement.</t>
  </si>
  <si>
    <t xml:space="preserve">The organization’s determination of risk tolerance is informed by its role in critical infrastructure and sector-specific risk analysis.</t>
  </si>
  <si>
    <t xml:space="preserve">1. If the organisation is considered a critical infrastructure, then the cyber risk and overall risk tolerance should take this into consideration. 
</t>
  </si>
  <si>
    <t xml:space="preserve">Sector status undetermined (see row 9), so it cannot inform risk tolerance.</t>
  </si>
  <si>
    <t xml:space="preserve">Access Control</t>
  </si>
  <si>
    <t xml:space="preserve">Access to assets and associated facilities is limited to authorized users, processes, or devices, and to authorized activities and transactions.</t>
  </si>
  <si>
    <t xml:space="preserve">Identities and credentials are managed for authorized devices and users.</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</si>
  <si>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</si>
  <si>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 xml:space="preserve">Active Directory manages users and groups and password complexity is enforced, but the domain admin password is SHARED among several senior IT staff, removing individual accountability, and no MFA is in use.</t>
  </si>
  <si>
    <t xml:space="preserve">Physical access to assets is managed and protected.</t>
  </si>
  <si>
    <t xml:space="preserve">Describe your physical security process:
1. do you use CCTV?
2. Do you log who gets access to rooms? There is a key card to swap?
3. Do you make use of biometrics?</t>
  </si>
  <si>
    <t xml:space="preserve">Highly secure facility, CCTV throughout, 24/7 monitoring of research labs and physical facilities. ASSUMPTION: access logging and card control inferred from the stated maturity.</t>
  </si>
  <si>
    <t xml:space="preserve">Remote access is managed.</t>
  </si>
  <si>
    <t xml:space="preserve">1. Do you VPN for remote access?
2. Is two-factor authentication required for VPN connections?
3. How do contractors and third-party providers access your environment?</t>
  </si>
  <si>
    <t xml:space="preserve">VPN is used for remote access but the organisation does not use two-factor authentication for login. Contractor and third-party access is undefined.</t>
  </si>
  <si>
    <t xml:space="preserve">Access permissions are managed, incorporating the principles of least privilege and separation of duties.</t>
  </si>
  <si>
    <t xml:space="preserve">1. Are the principle of least privilege and separation of duties followed across the organisation?
2. Do you conduct regular reviews to validate that  the principle of least privilege and separation of duties are followed consistently across the organisation?</t>
  </si>
  <si>
    <t xml:space="preserve">Access is granted on request. No least privilege, no separation of duties, no periodic access reviews, no PAM.</t>
  </si>
  <si>
    <t xml:space="preserve">Network integrity is protected, incorporating network segregation where appropriate.</t>
  </si>
  <si>
    <t xml:space="preserve">1. Ask the network team if they segment the network and how they do it.</t>
  </si>
  <si>
    <t xml:space="preserve">Network is segmented using VLANs.</t>
  </si>
  <si>
    <t xml:space="preserve">Awareness Training</t>
  </si>
  <si>
    <t xml:space="preserve">The organization’s personnel and partners are provided cybersecurity awareness education and are adequately trained to perform their information security-related duties and responsibilities consistent with related policies, procedures, and agreements.</t>
  </si>
  <si>
    <t xml:space="preserve">All users are informed and trained.</t>
  </si>
  <si>
    <t xml:space="preserve">1. Do you conduct regular security awareness training? 
2. Is the training mandatory for all employees who join the organisation?
3. Do you enforce the training on contractors?</t>
  </si>
  <si>
    <t xml:space="preserve">Induction web module only, covering basic instructions. No refresher training, no phishing simulation, no ongoing campaigns.</t>
  </si>
  <si>
    <t xml:space="preserve">Privileged users understand roles and responsibilities.</t>
  </si>
  <si>
    <t xml:space="preserve">1. Do you have a process to manage privileged users / privileged accounts?
2. Do you use a tool to manage privileged access? Is it operational?</t>
  </si>
  <si>
    <t xml:space="preserve">No privileged access management solution. Shared admin credentials are the opposite of the control.</t>
  </si>
  <si>
    <t xml:space="preserve">Third-party stakeholders (e.g., suppliers, customers, partners) understand roles and responsibilities.</t>
  </si>
  <si>
    <t xml:space="preserve">1. Does your contract with third-party suppliers include clauses to ensure information security standards are met?
2. Do conduct cyber security assessments on third party suppliers before onboarding them?</t>
  </si>
  <si>
    <t xml:space="preserve">No TPRM. Contracts are reviewed by procurement and finance, not IT, so no security clauses and no pre-onboarding assessment.</t>
  </si>
  <si>
    <t xml:space="preserve">Senior executives understand roles and responsibilities.</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</si>
  <si>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</si>
  <si>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No evidence of executive or board security training, and no defined security roles for them to understand.</t>
  </si>
  <si>
    <t xml:space="preserve">Physical and information security personnel understand roles and responsibilities.</t>
  </si>
  <si>
    <t xml:space="preserve">1.Have cyber security roles and responsibilities have been defined and communicated to staff (including physical security staff)? This can be accomplished through accepting policies and/or awareness training
</t>
  </si>
  <si>
    <t xml:space="preserve">Cyber security roles and responsibilities are not defined or communicated.</t>
  </si>
  <si>
    <t xml:space="preserve">Data Security</t>
  </si>
  <si>
    <t xml:space="preserve">Information and records (data) are managed consistent with the organization’s risk strategy to protect the confidentiality, integrity, and availability of information.</t>
  </si>
  <si>
    <t xml:space="preserve">Data-at-rest is protected.</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</si>
  <si>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</si>
  <si>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 xml:space="preserve">PARTIAL: Azure and M365 encrypt data at rest by default, so the encryption element is satisfied. No data discovery, classification, labelling or DLP.</t>
  </si>
  <si>
    <t xml:space="preserve">Data-in-transit is protected.</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</si>
  <si>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</si>
  <si>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 xml:space="preserve">PARTIAL: TLS in transit is default across M365 and Azure. No DLP, no classification, and removable media use is unrestricted.</t>
  </si>
  <si>
    <t xml:space="preserve">Assets are formally managed throughout removal, transfers and disposition.</t>
  </si>
  <si>
    <t xml:space="preserve">1.Do you have a process to offboard assets? 
2. Do you follow a process for data disposal?</t>
  </si>
  <si>
    <t xml:space="preserve">No documented asset offboarding or data disposal process.</t>
  </si>
  <si>
    <t xml:space="preserve">Adequate capacity to ensure availability is maintained.</t>
  </si>
  <si>
    <t xml:space="preserve">1. Are your critical systems 'highly-available' ?
2. Do you have business continuity plans in place?
3. Do you have protection against Denial of Service Attacks?</t>
  </si>
  <si>
    <t xml:space="preserve">Documented BCPs, regular DR testing, tested backups, and an all-cloud estate. ASSUMPTION: DDoS protection inferred from Azure platform defaults.</t>
  </si>
  <si>
    <t xml:space="preserve">Protections against data leaks are implemented.</t>
  </si>
  <si>
    <t xml:space="preserve">1. Describe your Data Loss protection program</t>
  </si>
  <si>
    <t xml:space="preserve">No DLP solution.</t>
  </si>
  <si>
    <t xml:space="preserve">Integrity checking mechanisms are used to verify software, firmware and information integrity.</t>
  </si>
  <si>
    <t xml:space="preserve">1. This is an outdated control. Ignore this. Most firmwares and softwares have this control built-in</t>
  </si>
  <si>
    <t xml:space="preserve">Marked Pass in the source workbook as an outdated control.</t>
  </si>
  <si>
    <t xml:space="preserve">The development and testing environment(s) are separate from the production environment.</t>
  </si>
  <si>
    <t xml:space="preserve">1. Does the organisation conduct any softwatre development activities? If yes, do they have sepratate devevelopment/testing/production environments?</t>
  </si>
  <si>
    <t xml:space="preserve">NOT APPLICABLE: Oscorp performs no software development and relies exclusively on SaaS.</t>
  </si>
  <si>
    <t xml:space="preserve">Information Protection Processes and Procedures</t>
  </si>
  <si>
    <t xml:space="preserve">Security policies (that address purpose, scope, roles, responsibilities, management commitment, and coordination among organizational entities), processes, and procedures are maintained and used to manage protection of information systems and assets.</t>
  </si>
  <si>
    <t xml:space="preserve">A baseline configuration of information technology/industrial control systems is created and maintained.</t>
  </si>
  <si>
    <t xml:space="preserve">1. Do you use a Secure Operating Environment (SOE) image for your operating system baseline configuration/installation?</t>
  </si>
  <si>
    <t xml:space="preserve">A Secure Operating Environment (SOE) image is used for all laptops with the current Windows desktop version.</t>
  </si>
  <si>
    <t xml:space="preserve">A system development life cycle (SDLC) to manage systems is implemented.</t>
  </si>
  <si>
    <t xml:space="preserve">1. Does the organisation conduct any softwatre development activities? If yes, do they follow a sofware development life cycle process?</t>
  </si>
  <si>
    <t xml:space="preserve">NOT APPLICABLE: no software development activity.</t>
  </si>
  <si>
    <t xml:space="preserve">Configuration change control processes are in place.</t>
  </si>
  <si>
    <t xml:space="preserve">1. Does the organisation follow a well documented change management process that includes documented approvals?
</t>
  </si>
  <si>
    <t xml:space="preserve">No documented change management process with recorded approvals.</t>
  </si>
  <si>
    <t xml:space="preserve">Backups of information are conducted, maintained and tested periodically.</t>
  </si>
  <si>
    <t xml:space="preserve">1. Do you have take regular backups?
2. Are backups tested on a regular basis?</t>
  </si>
  <si>
    <t xml:space="preserve">Regular backups are taken and tested periodically.</t>
  </si>
  <si>
    <t xml:space="preserve">Policy and regulations regarding the physical operating environment for organizational assets are met.</t>
  </si>
  <si>
    <t xml:space="preserve">1.Is Physical security policy (for buildings and secure facilities)  implemented and followed ?</t>
  </si>
  <si>
    <t xml:space="preserve">Physical security controls are mature and consistently applied. NOTE: the underlying policy is undocumented — a documentation gap rather than a control gap.</t>
  </si>
  <si>
    <t xml:space="preserve">Data is destroyed according to policy.</t>
  </si>
  <si>
    <t xml:space="preserve">1. Do you a documented procedure for data disposal? Is it followed across the organisation?</t>
  </si>
  <si>
    <t xml:space="preserve">No data governance policy and no documented disposal procedure.</t>
  </si>
  <si>
    <t xml:space="preserve">Protection processes are continuously improved.</t>
  </si>
  <si>
    <t xml:space="preserve">1.Do data protection processes and procedures get reviewed periodcially and undergo continuous improvement ?</t>
  </si>
  <si>
    <t xml:space="preserve">No cyber security strategy and no continuous improvement cycle for protection processes.</t>
  </si>
  <si>
    <t xml:space="preserve">Effectiveness of protection technologies is shared with appropriate parties.</t>
  </si>
  <si>
    <t xml:space="preserve">1. Does the organization participates in information security sharing with other industry partners? (i.e. do they exchange ideas on how to better protect data with other vendors and industry partners?)</t>
  </si>
  <si>
    <t xml:space="preserve">No participation in industry information sharing.</t>
  </si>
  <si>
    <t xml:space="preserve">Response plans (incident response and business continuity) and recovery plans (incident recovery and disaster recovery) are in place and managed.</t>
  </si>
  <si>
    <t xml:space="preserve">1. Do you have cyber security incident response plans? 
2. Do you business continuity and disaster recovery plans? </t>
  </si>
  <si>
    <t xml:space="preserve">PARTIAL: business continuity and disaster recovery plans exist and are strong. There is no cyber security incident response plan.</t>
  </si>
  <si>
    <t xml:space="preserve">Response and recovery plans are tested.</t>
  </si>
  <si>
    <t xml:space="preserve">1. Determine whether business continuity and incident response tests are performed according to policy and any applicable guidance.</t>
  </si>
  <si>
    <t xml:space="preserve">PARTIAL: DR testing is regular. Incident response is untested because no plan exists.</t>
  </si>
  <si>
    <t xml:space="preserve">Cybersecurity is included in human resources practices. (e.g., deprovisioning, personnel screening)</t>
  </si>
  <si>
    <t xml:space="preserve">1. Does hiring procedures inclue background checks/screenings for all employees and contractors?
2. Are  hiring procedures for positions with access to sensitive information commensurate with a higher level of risk?
3. Do termination/off-boarding procedures get accounts/access  disabled in a timely manner?</t>
  </si>
  <si>
    <t xml:space="preserve">PARTIAL: extensive vetting is performed for all employees. Offboarding and access deprovisioning are unevidenced, and no access reviews are performed.</t>
  </si>
  <si>
    <t xml:space="preserve">A vulnerability management plan is developed and implemented.</t>
  </si>
  <si>
    <t xml:space="preserve">1. Does the organisation have an effective vulnerability management program?</t>
  </si>
  <si>
    <t xml:space="preserve">Qualys is owned but used ad hoc. No formal vulnerability management programme, and a large backlog of high and severe findings.</t>
  </si>
  <si>
    <t xml:space="preserve">Maintenance</t>
  </si>
  <si>
    <t xml:space="preserve">Maintenance and repairs of industrial control and information system components is performed consistent with policies and procedures.</t>
  </si>
  <si>
    <t xml:space="preserve">Maintenance and repair of organizational assets is performed and logged in a timely manner, with approved and controlled tools.</t>
  </si>
  <si>
    <t xml:space="preserve">1. Does the organisation conduct hardware maintenance on their servers (if they have physical servers) ?</t>
  </si>
  <si>
    <t xml:space="preserve">NOT APPLICABLE: no on-premises server estate; all data and applications are in Azure and M365.</t>
  </si>
  <si>
    <t xml:space="preserve">Remote maintenance of organizational assets is approved, logged and performed in a manner that prevents unauthorized access.</t>
  </si>
  <si>
    <t xml:space="preserve">1. If the organisation use third-party providers to conduct maintenance on their hardware assets, are maintenance activities logged?</t>
  </si>
  <si>
    <t xml:space="preserve">NOT APPLICABLE: no hardware maintenance performed by third parties on an on-premises estate.</t>
  </si>
  <si>
    <t xml:space="preserve">Protective Technology</t>
  </si>
  <si>
    <t xml:space="preserve">Technical security solutions are managed to ensure the security and resilience of systems and assets, consistent with related policies, procedures, and agreements.</t>
  </si>
  <si>
    <t xml:space="preserve">Audit/log records are determined, documented, implemented and reviewed in accordance with policy.</t>
  </si>
  <si>
    <t xml:space="preserve">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dectection systems [IDS], firewalls)
b. Microsoft systems (e.g., Windows event logs)
c. Non-Microsoft systems (e.g., syslog files for Unix/Linux servers, routers, switches)</t>
  </si>
  <si>
    <t xml:space="preserve">No SIEM and no log review process. Logs are not determined, documented or reviewed against any policy.</t>
  </si>
  <si>
    <t xml:space="preserve">Removable media is protected and its use restricted according to policy.</t>
  </si>
  <si>
    <t xml:space="preserve">1. Does the organisation allow using USB flash drives? If yes, are there policies to restrict copying of sensitive data on flash drives? </t>
  </si>
  <si>
    <t xml:space="preserve">No removable media policy or technical restriction, and no DLP to detect copying.</t>
  </si>
  <si>
    <t xml:space="preserve">Access to systems and assets is controlled, incorporating the principle of least functionality.</t>
  </si>
  <si>
    <t xml:space="preserve">1. The principl of "least functionality" essentially means having one system for one speciic function. For example, have one server for email, and another server for FTP, and another server as a firewall. As opposed to having everything on one machine. 
Does the organisation follow this principle?</t>
  </si>
  <si>
    <t xml:space="preserve">ASSUMPTION: an exclusively SaaS and cloud estate provides functional separation by design; no multi-role servers exist.</t>
  </si>
  <si>
    <t xml:space="preserve">Communications and control networks are protected.</t>
  </si>
  <si>
    <t xml:space="preserve">1. is network traffic encrypted by defualt? What network security measures do you have in place?</t>
  </si>
  <si>
    <t xml:space="preserve">Palo Alto next-generation firewalls, configured and regularly updated, VLAN segmentation, VPN for remote access, and TLS by default across M365 and Azure.</t>
  </si>
  <si>
    <t xml:space="preserve">Anomalies and Events</t>
  </si>
  <si>
    <t xml:space="preserve">Anomalous activity is detected in a timely manner and the potential impact of events is understood.</t>
  </si>
  <si>
    <t xml:space="preserve">A baseline of network operations and expected data flows for users and systems is established and managed.</t>
  </si>
  <si>
    <t xml:space="preserve">1.Does the organisation have a SIEM? With a SIEM, you can capture what 'normal' (baseline) traffic looks like (so you can detect anomalies when you see something unusual). </t>
  </si>
  <si>
    <t xml:space="preserve">No SIEM, so no baseline of normal network behaviour exists.</t>
  </si>
  <si>
    <t xml:space="preserve">Detected events are analyzed to understand attack targets and methods.</t>
  </si>
  <si>
    <t xml:space="preserve">1. Does the organisation have an effective process of analysing threats and alers that are detected? </t>
  </si>
  <si>
    <t xml:space="preserve">No detection or response capability. Defender alerts are handled reactively with no analysis process.</t>
  </si>
  <si>
    <t xml:space="preserve">Event data are aggregated and correlated from multiple sources and sensors.</t>
  </si>
  <si>
    <t xml:space="preserve">1. Does the organisation have an effective SIEM solutions? If Yes, Have logs been onboarded successfully to the SIEM?</t>
  </si>
  <si>
    <t xml:space="preserve">No SIEM and no log aggregation or correlation.</t>
  </si>
  <si>
    <t xml:space="preserve">Impact of events is determined.</t>
  </si>
  <si>
    <t xml:space="preserve">1. Does the procss of analysing detected events include classifying the event based on its impact and criticality? (i.e. low/medium/high for example)</t>
  </si>
  <si>
    <t xml:space="preserve">No event classification by impact or criticality.</t>
  </si>
  <si>
    <t xml:space="preserve">Incident alert thresholds are established.</t>
  </si>
  <si>
    <t xml:space="preserve">1. Are escalation points for alerts established based on impact/criticality? </t>
  </si>
  <si>
    <t xml:space="preserve">No alert thresholds or escalation criteria defined.</t>
  </si>
  <si>
    <t xml:space="preserve">Security Continuous Monitoring</t>
  </si>
  <si>
    <t xml:space="preserve">The information system and assets are monitored at discrete intervals to identify cybersecurity events and verify the effectiveness of protective measures.</t>
  </si>
  <si>
    <t xml:space="preserve">The network is monitored to detect potential cybersecurity events.</t>
  </si>
  <si>
    <t xml:space="preserve">1.Is network traffic monitored for malicious acticity? (this is accomplished by having an operational SIEM). </t>
  </si>
  <si>
    <t xml:space="preserve">Network traffic is not monitored for malicious activity.</t>
  </si>
  <si>
    <t xml:space="preserve">The physical environment is monitored to detect potential cybersecurity events.</t>
  </si>
  <si>
    <t xml:space="preserve">1. Does Security events monitorin include the physical security environment? Do you get alerts for physical security breaches?</t>
  </si>
  <si>
    <t xml:space="preserve">24/7 monitoring is in place for research labs and physical facilities.</t>
  </si>
  <si>
    <t xml:space="preserve">Personnel activity is monitored to detect potential cybersecurity events.</t>
  </si>
  <si>
    <t xml:space="preserve">1. Do you detect unusual and/or malicious activities across the organisation (including physical breaches) ?</t>
  </si>
  <si>
    <t xml:space="preserve">No monitoring of personnel activity; no insider threat detection.</t>
  </si>
  <si>
    <t xml:space="preserve">Malicious code is detected.</t>
  </si>
  <si>
    <t xml:space="preserve">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</si>
  <si>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 xml:space="preserve">Microsoft Defender is deployed and alerts reach the IT team. NOTE: coverage beyond SOE-imaged Windows laptops is not evidenced.</t>
  </si>
  <si>
    <t xml:space="preserve">Unauthorized mobile code is detected.</t>
  </si>
  <si>
    <t xml:space="preserve">1. Do you have an anti-malware solution? Does it scan emails as well as static files?</t>
  </si>
  <si>
    <t xml:space="preserve">ASSUMPTION: Defender plus M365 provides email and file scanning by default.</t>
  </si>
  <si>
    <t xml:space="preserve">External service provider activity is monitored to detect potential cybersecurity events.</t>
  </si>
  <si>
    <t xml:space="preserve">1. Do you have comprehensive TPRM process? If yes, Do third-party service providers provide you with notification in case of any data breaches? (this should be part of the contract)</t>
  </si>
  <si>
    <t xml:space="preserve">No TPRM, therefore no supplier breach notification clauses and no monitoring of provider activity.</t>
  </si>
  <si>
    <t xml:space="preserve">Monitoring for unauthorized personnel, connections, devices and software is performed.</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</si>
  <si>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</si>
  <si>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 xml:space="preserve">No network access control, no device registration requirement, and no restriction on removable media.</t>
  </si>
  <si>
    <t xml:space="preserve">Vulnerability scans are performed.</t>
  </si>
  <si>
    <t xml:space="preserve">1. Do you conduct regulat vulnerability scans? If yes, what's the coverage of your vulnerability scanner?</t>
  </si>
  <si>
    <t xml:space="preserve">Qualys scans occur but on an ad hoc basis rather than a schedule, and scan coverage of the estate is not established.</t>
  </si>
  <si>
    <t xml:space="preserve">Detection Processes</t>
  </si>
  <si>
    <t xml:space="preserve">Detection processes and procedures are maintained and tested to ensure timely and adequate awareness of anomalous events.</t>
  </si>
  <si>
    <t xml:space="preserve">Roles and responsibilities for detection are well defined to ensure accountability.</t>
  </si>
  <si>
    <t xml:space="preserve">1. have you defined roles and responsibilities for detection and response? Are they assigned to the IT team or cyber security team? Are the roles clear? Do you use MSSP? Is there a clear contract?</t>
  </si>
  <si>
    <t xml:space="preserve">Detection roles and responsibilities are undefined. One generalist analyst responds to whatever arrives.</t>
  </si>
  <si>
    <t xml:space="preserve">Detection activities comply with all applicable requirements.</t>
  </si>
  <si>
    <t xml:space="preserve">1. Is your detection capabilities compliant with rules and regulations that are applicable to your organisation?</t>
  </si>
  <si>
    <t xml:space="preserve">Regulatory obligations are undocumented, so detection cannot be shown to comply with them.</t>
  </si>
  <si>
    <t xml:space="preserve">Detection processes are tested.</t>
  </si>
  <si>
    <t xml:space="preserve">1. Do you perform effectiveness testing against your detection use cases? This can be cyber drills and penetration tests
2. Do you improve your detection use cases based on the test outcomes?</t>
  </si>
  <si>
    <t xml:space="preserve">No detection use cases exist to test.</t>
  </si>
  <si>
    <t xml:space="preserve">Event detection information is communicated to appropriate parties.</t>
  </si>
  <si>
    <t xml:space="preserve">1. Do you have clear communication paths and escalation points for when events are detected? Are they documented? </t>
  </si>
  <si>
    <t xml:space="preserve">No documented communication paths or escalation points for detected events.</t>
  </si>
  <si>
    <t xml:space="preserve">Detection processes are continuously improved.</t>
  </si>
  <si>
    <t xml:space="preserve">1. Do you incorporate 'lessons learned' as part of your incident response? Is there a process to continuously improve detection capabilities?</t>
  </si>
  <si>
    <t xml:space="preserve">No lessons-learned process and no continuous improvement of detection.</t>
  </si>
  <si>
    <t xml:space="preserve">Response Planning </t>
  </si>
  <si>
    <t xml:space="preserve">Response processes and procedures are executed and maintained, to ensure timely response to detected cybersecurity events.</t>
  </si>
  <si>
    <t xml:space="preserve">Response plan is executed during or after an event.</t>
  </si>
  <si>
    <t xml:space="preserve">1. Do you cyber security incident response plans? IF yes, are they actively used during an incident?</t>
  </si>
  <si>
    <t xml:space="preserve">No cyber security incident response plan exists.</t>
  </si>
  <si>
    <t xml:space="preserve">Communications</t>
  </si>
  <si>
    <t xml:space="preserve">Response activities are coordinated with internal and external stakeholders, as appropriate, to include external support from law enforcement agencies.</t>
  </si>
  <si>
    <t xml:space="preserve">Personnel know their roles and order of operations when a response is needed.</t>
  </si>
  <si>
    <t xml:space="preserve">1. Do incident response plans include clear contact details and escalation points? Have they been tested?</t>
  </si>
  <si>
    <t xml:space="preserve">No documented roles, contact details or escalation points, and nothing has been tested.</t>
  </si>
  <si>
    <t xml:space="preserve">Events are reported consistent with established criteria.</t>
  </si>
  <si>
    <t xml:space="preserve">1. Do cyber security incidents get reported as per the defined threshold? How mature is the incident response process?</t>
  </si>
  <si>
    <t xml:space="preserve">No defined reporting criteria or thresholds.</t>
  </si>
  <si>
    <t xml:space="preserve">Information is shared consistent with response plans.</t>
  </si>
  <si>
    <t xml:space="preserve">1.Do Incident response plans include clear and transparent escalation in points? If yes, do they include involving law enforcement (when necessary) ?</t>
  </si>
  <si>
    <t xml:space="preserve">No response plan, therefore no defined information sharing or law enforcement engagement.</t>
  </si>
  <si>
    <t xml:space="preserve">Coordination with stakeholders occurs consistent with response plans.</t>
  </si>
  <si>
    <t xml:space="preserve">1. For escalated incidents, do response plans include details on how to coordinate with various teams when necessary?</t>
  </si>
  <si>
    <t xml:space="preserve">No stakeholder coordination procedures.</t>
  </si>
  <si>
    <t xml:space="preserve">Voluntary information sharing occurs with external stakeholders to achieve broader cybersecurity situational awareness.</t>
  </si>
  <si>
    <t xml:space="preserve">1. Does your organisation share information security intelligence with the wider community or with industry peers?</t>
  </si>
  <si>
    <t xml:space="preserve">No external information sharing.</t>
  </si>
  <si>
    <t xml:space="preserve">Analysis</t>
  </si>
  <si>
    <t xml:space="preserve">Analysis is conducted to ensure adequate response and support recovery activities.</t>
  </si>
  <si>
    <t xml:space="preserve">Notifications from detection systems are investigated.</t>
  </si>
  <si>
    <t xml:space="preserve">1. Does your team has a clear process to respond to security alerts? 
2. Do you have 24/7 coverage?</t>
  </si>
  <si>
    <t xml:space="preserve">Alerts are actioned reactively by a single generalist analyst in business hours. No documented triage process and no 24/7 coverage.</t>
  </si>
  <si>
    <t xml:space="preserve">The impact of the incident is understood.</t>
  </si>
  <si>
    <t xml:space="preserve">1. Does your team document the impact/criticality of incidents as part of their analysis?</t>
  </si>
  <si>
    <t xml:space="preserve">Incident impact and criticality are not documented.</t>
  </si>
  <si>
    <t xml:space="preserve">Forensics are performed.</t>
  </si>
  <si>
    <t xml:space="preserve">1. Does your team have the capability (people/skills and technology) to perform digital forensics analysis when needed?</t>
  </si>
  <si>
    <t xml:space="preserve">No digital forensics capability in people, skills or tooling.</t>
  </si>
  <si>
    <t xml:space="preserve">Incidents are categorized consistent with response plans.</t>
  </si>
  <si>
    <t xml:space="preserve">1. Are your incident response plans well structure in a such a way that they prioritise incidents based on criticality?</t>
  </si>
  <si>
    <t xml:space="preserve">No incident categorisation scheme.</t>
  </si>
  <si>
    <t xml:space="preserve">Mitigation</t>
  </si>
  <si>
    <t xml:space="preserve">Activities are performed to prevent expansion of an event, mitigate its effects and eradicate the incident.</t>
  </si>
  <si>
    <t xml:space="preserve">Incidents are contained.</t>
  </si>
  <si>
    <t xml:space="preserve">1. Ensure Incident response plans follow a standard that ensure that incidents are contained. (such as the SANS incident response plans template)</t>
  </si>
  <si>
    <t xml:space="preserve">No documented containment procedures.</t>
  </si>
  <si>
    <t xml:space="preserve">Incidents are mitigated.</t>
  </si>
  <si>
    <t xml:space="preserve">1. Ensure Incident response plans follow a standard that ensure that incidents are mitigated as needed. (such as the SANS incident response plans template)</t>
  </si>
  <si>
    <t xml:space="preserve">No documented mitigation procedures.</t>
  </si>
  <si>
    <t xml:space="preserve">Newly identified vulnerabilities are mitigated or documented as accepted risk.</t>
  </si>
  <si>
    <t xml:space="preserve">1. Do you have a comprehensive vulnerability management program that accounts for new vulnerabilities that are newly discovered (including zero days)? Do you have a process to dealing with them?</t>
  </si>
  <si>
    <t xml:space="preserve">No vulnerability management programme, therefore no process for newly disclosed vulnerabilities or zero-days, and no risk acceptance route.</t>
  </si>
  <si>
    <t xml:space="preserve">Improvements</t>
  </si>
  <si>
    <t xml:space="preserve">Organizational response activities are improved by incorporating lessons learned from current and previous detection/response activities.</t>
  </si>
  <si>
    <t xml:space="preserve">Response plans incorporate lessons learned.</t>
  </si>
  <si>
    <t xml:space="preserve">1. Do your incident response plans include a "lessons learned" step?</t>
  </si>
  <si>
    <t xml:space="preserve">No response plans, therefore no lessons-learned step.</t>
  </si>
  <si>
    <t xml:space="preserve">Response strategies are updated.</t>
  </si>
  <si>
    <t xml:space="preserve">1. Do you periodically test and update your incident response plans?</t>
  </si>
  <si>
    <t xml:space="preserve">No response plans to test or update.</t>
  </si>
  <si>
    <t xml:space="preserve">Recovery Planning</t>
  </si>
  <si>
    <t xml:space="preserve">Recovery processes and procedures are executed and maintained to ensure timely restoration of systems or assets affected by cybersecurity events.</t>
  </si>
  <si>
    <t xml:space="preserve">Recovery plan is executed during or after an event.</t>
  </si>
  <si>
    <t xml:space="preserve">1. Does your organisation have a disaster recovery plan? Has it been tested?</t>
  </si>
  <si>
    <t xml:space="preserve">Documented business continuity plans and regular disaster recovery testing.</t>
  </si>
  <si>
    <t xml:space="preserve">Recovery planning and processes are improved by incorporating lessons learned into future activities.</t>
  </si>
  <si>
    <t xml:space="preserve">Recovery plans incorporate lessons learned.</t>
  </si>
  <si>
    <t xml:space="preserve">1. Do your disaster recovery plans include a "lessons learned" step?</t>
  </si>
  <si>
    <t xml:space="preserve">ASSUMPTION: notes are silent on a lessons-learned step within recovery planning.</t>
  </si>
  <si>
    <t xml:space="preserve">Recovery strategies are updated.</t>
  </si>
  <si>
    <t xml:space="preserve">1. Do you perform periodic testing for your disaster recovery plans? Do they get regularly updated as a result?</t>
  </si>
  <si>
    <t xml:space="preserve">Disaster recovery testing is conducted regularly. NOTE: whether plans are updated as a result is not evidenced.</t>
  </si>
  <si>
    <t xml:space="preserve">Restoration activities are coordinated with internal and external parties, such as coordinating centers, Internet Service Providers, owners of attacking systems, victims, other CSIRTs and vendors.</t>
  </si>
  <si>
    <t xml:space="preserve">Public relations are managed.</t>
  </si>
  <si>
    <t xml:space="preserve">1. Do you improve communication as part of your disaster recovery testing?</t>
  </si>
  <si>
    <t xml:space="preserve">No crisis communications or public relations component evidenced in recovery planning.</t>
  </si>
  <si>
    <t xml:space="preserve">Reputation after an event is repaired.</t>
  </si>
  <si>
    <t xml:space="preserve">1. Do your disaster recovery plans include a mitigating steps in case of a crisis where the reputation of the organisation is impacted?</t>
  </si>
  <si>
    <t xml:space="preserve">No reputation management or crisis response component.</t>
  </si>
  <si>
    <t xml:space="preserve">Recovery activities are communicated to internal stakeholders and executive and management teams.</t>
  </si>
  <si>
    <t xml:space="preserve">1. Do your disaster recovery plans include clear communication and escalation points?</t>
  </si>
  <si>
    <t xml:space="preserve">BCPs are documented, but communication paths and escalation to executives during recovery are not evidenced.</t>
  </si>
</sst>
</file>

<file path=xl/styles.xml><?xml version="1.0" encoding="utf-8"?>
<styleSheet xmlns="http://schemas.openxmlformats.org/spreadsheetml/2006/main">
  <numFmts count="2">
    <numFmt numFmtId="164" formatCode="General"/>
    <numFmt numFmtId="165" formatCode="0%"/>
  </numFmts>
  <fonts count="1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0"/>
      <name val="Arial"/>
      <family val="0"/>
      <charset val="1"/>
    </font>
    <font>
      <i val="true"/>
      <sz val="10"/>
      <name val="Arial"/>
      <family val="0"/>
      <charset val="1"/>
    </font>
    <font>
      <sz val="12"/>
      <color theme="1"/>
      <name val="Calibri"/>
      <family val="2"/>
      <charset val="1"/>
    </font>
    <font>
      <b val="true"/>
      <i val="true"/>
      <sz val="10"/>
      <name val="Arial"/>
      <family val="2"/>
      <charset val="1"/>
    </font>
    <font>
      <sz val="10"/>
      <name val="Arial"/>
      <family val="2"/>
      <charset val="1"/>
    </font>
    <font>
      <sz val="14"/>
      <color theme="1"/>
      <name val="Calibri"/>
      <family val="2"/>
      <charset val="1"/>
    </font>
    <font>
      <b val="true"/>
      <sz val="10"/>
      <color rgb="FF9C0006"/>
      <name val="Arial"/>
      <family val="0"/>
      <charset val="1"/>
    </font>
    <font>
      <b val="true"/>
      <sz val="10"/>
      <color rgb="FF006100"/>
      <name val="Arial"/>
      <family val="0"/>
      <charset val="1"/>
    </font>
    <font>
      <b val="true"/>
      <i val="true"/>
      <sz val="12"/>
      <name val="Calibri"/>
      <family val="2"/>
      <charset val="1"/>
    </font>
    <font>
      <sz val="12"/>
      <name val="Calibri"/>
      <family val="2"/>
      <charset val="1"/>
    </font>
    <font>
      <sz val="12"/>
      <color rgb="FF000000"/>
      <name val="Calibri"/>
      <family val="2"/>
      <charset val="1"/>
    </font>
    <font>
      <b val="true"/>
      <i val="true"/>
      <sz val="12"/>
      <color theme="1"/>
      <name val="Calibri"/>
      <family val="2"/>
      <charset val="1"/>
    </font>
  </fonts>
  <fills count="11">
    <fill>
      <patternFill patternType="none"/>
    </fill>
    <fill>
      <patternFill patternType="gray125"/>
    </fill>
    <fill>
      <patternFill patternType="solid">
        <fgColor rgb="FFD9E2F3"/>
        <bgColor rgb="FFC6D9F1"/>
      </patternFill>
    </fill>
    <fill>
      <patternFill patternType="solid">
        <fgColor theme="3" tint="0.7999"/>
        <bgColor rgb="FFB7DEE8"/>
      </patternFill>
    </fill>
    <fill>
      <patternFill patternType="solid">
        <fgColor theme="4" tint="0.5999"/>
        <bgColor rgb="FFC6D9F1"/>
      </patternFill>
    </fill>
    <fill>
      <patternFill patternType="solid">
        <fgColor rgb="FFFFC7CE"/>
        <bgColor rgb="FFF2DCDB"/>
      </patternFill>
    </fill>
    <fill>
      <patternFill patternType="solid">
        <fgColor rgb="FFC6EFCE"/>
        <bgColor rgb="FFD7E4BD"/>
      </patternFill>
    </fill>
    <fill>
      <patternFill patternType="solid">
        <fgColor theme="5" tint="0.7999"/>
        <bgColor rgb="FFD9E2F3"/>
      </patternFill>
    </fill>
    <fill>
      <patternFill patternType="solid">
        <fgColor theme="6" tint="0.5999"/>
        <bgColor rgb="FFC6EFCE"/>
      </patternFill>
    </fill>
    <fill>
      <patternFill patternType="solid">
        <fgColor theme="7" tint="0.5999"/>
        <bgColor rgb="FFB9CDE5"/>
      </patternFill>
    </fill>
    <fill>
      <patternFill patternType="solid">
        <fgColor theme="8" tint="0.5999"/>
        <bgColor rgb="FFC6D9F1"/>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center" vertical="center" textRotation="9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12" fillId="5"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3" fillId="6" borderId="0" xfId="0" applyFont="true" applyBorder="false" applyAlignment="true" applyProtection="false">
      <alignment horizontal="center" vertical="top" textRotation="0" wrapText="fals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general" vertical="center" textRotation="0" wrapText="fals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3" fillId="6" borderId="1" xfId="0" applyFont="true" applyBorder="true" applyAlignment="true" applyProtection="false">
      <alignment horizontal="center" vertical="top" textRotation="0" wrapText="false" indent="0" shrinkToFit="false"/>
      <protection locked="true" hidden="false"/>
    </xf>
    <xf numFmtId="164" fontId="17" fillId="8" borderId="1" xfId="0" applyFont="true" applyBorder="true" applyAlignment="true" applyProtection="false">
      <alignment horizontal="center" vertical="center" textRotation="0" wrapText="true" indent="0" shrinkToFit="false"/>
      <protection locked="true" hidden="false"/>
    </xf>
    <xf numFmtId="164" fontId="17" fillId="8"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4" fillId="10" borderId="1" xfId="0" applyFont="true" applyBorder="true" applyAlignment="true" applyProtection="false">
      <alignment horizontal="center" vertical="center" textRotation="0" wrapText="true" indent="0" shrinkToFit="false"/>
      <protection locked="true" hidden="false"/>
    </xf>
    <xf numFmtId="164" fontId="14" fillId="1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CC1DA"/>
      <rgbColor rgb="FF808080"/>
      <rgbColor rgb="FF9999FF"/>
      <rgbColor rgb="FF993366"/>
      <rgbColor rgb="FFF2DCDB"/>
      <rgbColor rgb="FFD9E2F3"/>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B7DEE8"/>
      <rgbColor rgb="FFC6EFCE"/>
      <rgbColor rgb="FFD7E4BD"/>
      <rgbColor rgb="FFB9CDE5"/>
      <rgbColor rgb="FFE6B9B8"/>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24"/>
    <col collapsed="false" customWidth="true" hidden="false" outlineLevel="0" max="6" min="3" style="0" width="12"/>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3" t="s">
        <v>3</v>
      </c>
      <c r="D5" s="3" t="s">
        <v>4</v>
      </c>
      <c r="E5" s="3" t="s">
        <v>5</v>
      </c>
      <c r="F5" s="3" t="s">
        <v>6</v>
      </c>
    </row>
    <row r="6" customFormat="false" ht="15" hidden="false" customHeight="false" outlineLevel="0" collapsed="false">
      <c r="B6" s="2" t="s">
        <v>7</v>
      </c>
      <c r="C6" s="2" t="n">
        <v>2</v>
      </c>
      <c r="D6" s="2" t="n">
        <v>22</v>
      </c>
      <c r="E6" s="2" t="n">
        <f aca="false">C6+D6</f>
        <v>24</v>
      </c>
      <c r="F6" s="4" t="n">
        <f aca="false">IF(E6=0,"n/a",C6/E6)</f>
        <v>0.0833333333333333</v>
      </c>
    </row>
    <row r="7" customFormat="false" ht="15" hidden="false" customHeight="false" outlineLevel="0" collapsed="false">
      <c r="B7" s="2" t="s">
        <v>8</v>
      </c>
      <c r="C7" s="2" t="n">
        <v>13</v>
      </c>
      <c r="D7" s="2" t="n">
        <v>22</v>
      </c>
      <c r="E7" s="2" t="n">
        <f aca="false">C7+D7</f>
        <v>35</v>
      </c>
      <c r="F7" s="4" t="n">
        <f aca="false">IF(E7=0,"n/a",C7/E7)</f>
        <v>0.371428571428571</v>
      </c>
    </row>
    <row r="8" customFormat="false" ht="15" hidden="false" customHeight="false" outlineLevel="0" collapsed="false">
      <c r="B8" s="2" t="s">
        <v>9</v>
      </c>
      <c r="C8" s="2" t="n">
        <v>3</v>
      </c>
      <c r="D8" s="2" t="n">
        <v>15</v>
      </c>
      <c r="E8" s="2" t="n">
        <f aca="false">C8+D8</f>
        <v>18</v>
      </c>
      <c r="F8" s="4" t="n">
        <f aca="false">IF(E8=0,"n/a",C8/E8)</f>
        <v>0.166666666666667</v>
      </c>
    </row>
    <row r="9" customFormat="false" ht="15" hidden="false" customHeight="false" outlineLevel="0" collapsed="false">
      <c r="B9" s="2" t="s">
        <v>10</v>
      </c>
      <c r="C9" s="2" t="n">
        <v>0</v>
      </c>
      <c r="D9" s="2" t="n">
        <v>15</v>
      </c>
      <c r="E9" s="2" t="n">
        <f aca="false">C9+D9</f>
        <v>15</v>
      </c>
      <c r="F9" s="4" t="n">
        <f aca="false">IF(E9=0,"n/a",C9/E9)</f>
        <v>0</v>
      </c>
    </row>
    <row r="10" customFormat="false" ht="15" hidden="false" customHeight="false" outlineLevel="0" collapsed="false">
      <c r="B10" s="2" t="s">
        <v>11</v>
      </c>
      <c r="C10" s="2" t="n">
        <v>2</v>
      </c>
      <c r="D10" s="2" t="n">
        <v>4</v>
      </c>
      <c r="E10" s="2" t="n">
        <f aca="false">C10+D10</f>
        <v>6</v>
      </c>
      <c r="F10" s="4" t="n">
        <f aca="false">IF(E10=0,"n/a",C10/E10)</f>
        <v>0.333333333333333</v>
      </c>
    </row>
    <row r="11" customFormat="false" ht="15" hidden="false" customHeight="false" outlineLevel="0" collapsed="false">
      <c r="B11" s="5" t="s">
        <v>12</v>
      </c>
      <c r="C11" s="5" t="n">
        <f aca="false">SUM(C6:C10)</f>
        <v>20</v>
      </c>
      <c r="D11" s="5" t="n">
        <f aca="false">SUM(D6:D10)</f>
        <v>78</v>
      </c>
      <c r="E11" s="5" t="n">
        <f aca="false">SUM(E6:E10)</f>
        <v>98</v>
      </c>
      <c r="F11" s="6" t="n">
        <f aca="false">C11/E11</f>
        <v>0.204081632653061</v>
      </c>
    </row>
    <row r="13" customFormat="false" ht="15" hidden="false" customHeight="false" outlineLevel="0" collapsed="false">
      <c r="B13" s="7"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CDE5"/>
    <pageSetUpPr fitToPage="true"/>
  </sheetPr>
  <dimension ref="A1:F47"/>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A1" activeCellId="0" sqref="A1"/>
    </sheetView>
  </sheetViews>
  <sheetFormatPr defaultColWidth="30.66796875" defaultRowHeight="15.75" zeroHeight="true" outlineLevelRow="0" outlineLevelCol="0"/>
  <cols>
    <col collapsed="false" customWidth="true" hidden="false" outlineLevel="0" max="1" min="1" style="8" width="10.66"/>
    <col collapsed="false" customWidth="true" hidden="false" outlineLevel="0" max="2" min="2" style="9" width="25.67"/>
    <col collapsed="false" customWidth="true" hidden="false" outlineLevel="0" max="3" min="3" style="10" width="28.67"/>
    <col collapsed="false" customWidth="true" hidden="false" outlineLevel="0" max="4" min="4" style="8" width="68.66"/>
    <col collapsed="false" customWidth="true" hidden="false" outlineLevel="0" max="5" min="5" style="8" width="10"/>
    <col collapsed="false" customWidth="true" hidden="false" outlineLevel="0" max="6" min="6" style="9" width="70"/>
    <col collapsed="false" customWidth="false" hidden="true" outlineLevel="0" max="16384" min="7" style="11" width="30.67"/>
  </cols>
  <sheetData>
    <row r="1" s="15" customFormat="true" ht="42" hidden="false" customHeight="true" outlineLevel="0" collapsed="false">
      <c r="A1" s="12" t="s">
        <v>14</v>
      </c>
      <c r="B1" s="13" t="s">
        <v>15</v>
      </c>
      <c r="C1" s="12" t="s">
        <v>16</v>
      </c>
      <c r="D1" s="12" t="s">
        <v>17</v>
      </c>
      <c r="E1" s="12" t="s">
        <v>18</v>
      </c>
      <c r="F1" s="14" t="s">
        <v>19</v>
      </c>
    </row>
    <row r="2" customFormat="false" ht="67.5" hidden="false" customHeight="true" outlineLevel="0" collapsed="false">
      <c r="A2" s="16" t="s">
        <v>20</v>
      </c>
      <c r="B2" s="17" t="s">
        <v>21</v>
      </c>
      <c r="C2" s="17" t="s">
        <v>22</v>
      </c>
      <c r="D2" s="18" t="s">
        <v>23</v>
      </c>
      <c r="E2" s="19" t="s">
        <v>4</v>
      </c>
      <c r="F2" s="20" t="s">
        <v>24</v>
      </c>
    </row>
    <row r="3" customFormat="false" ht="67.5" hidden="false" customHeight="true" outlineLevel="0" collapsed="false">
      <c r="A3" s="16"/>
      <c r="B3" s="16"/>
      <c r="C3" s="17" t="s">
        <v>25</v>
      </c>
      <c r="D3" s="17" t="s">
        <v>26</v>
      </c>
      <c r="E3" s="19" t="s">
        <v>4</v>
      </c>
      <c r="F3" s="20" t="s">
        <v>27</v>
      </c>
    </row>
    <row r="4" customFormat="false" ht="33.75" hidden="false" customHeight="true" outlineLevel="0" collapsed="false">
      <c r="A4" s="16"/>
      <c r="B4" s="16"/>
      <c r="C4" s="17" t="s">
        <v>28</v>
      </c>
      <c r="D4" s="17" t="s">
        <v>29</v>
      </c>
      <c r="E4" s="21" t="s">
        <v>3</v>
      </c>
      <c r="F4" s="20" t="s">
        <v>30</v>
      </c>
    </row>
    <row r="5" customFormat="false" ht="67.5" hidden="false" customHeight="true" outlineLevel="0" collapsed="false">
      <c r="A5" s="16"/>
      <c r="B5" s="16"/>
      <c r="C5" s="17" t="s">
        <v>31</v>
      </c>
      <c r="D5" s="17" t="s">
        <v>32</v>
      </c>
      <c r="E5" s="19" t="s">
        <v>4</v>
      </c>
      <c r="F5" s="20" t="s">
        <v>33</v>
      </c>
    </row>
    <row r="6" customFormat="false" ht="84.75" hidden="false" customHeight="true" outlineLevel="0" collapsed="false">
      <c r="A6" s="16"/>
      <c r="B6" s="16"/>
      <c r="C6" s="17" t="s">
        <v>34</v>
      </c>
      <c r="D6" s="17" t="s">
        <v>35</v>
      </c>
      <c r="E6" s="19" t="s">
        <v>4</v>
      </c>
      <c r="F6" s="20" t="s">
        <v>36</v>
      </c>
    </row>
    <row r="7" customFormat="false" ht="102" hidden="false" customHeight="true" outlineLevel="0" collapsed="false">
      <c r="A7" s="16"/>
      <c r="B7" s="16"/>
      <c r="C7" s="17" t="s">
        <v>37</v>
      </c>
      <c r="D7" s="17" t="s">
        <v>38</v>
      </c>
      <c r="E7" s="19" t="s">
        <v>4</v>
      </c>
      <c r="F7" s="20" t="s">
        <v>39</v>
      </c>
    </row>
    <row r="8" customFormat="false" ht="67.5" hidden="false" customHeight="true" outlineLevel="0" collapsed="false">
      <c r="A8" s="16" t="s">
        <v>40</v>
      </c>
      <c r="B8" s="17" t="s">
        <v>41</v>
      </c>
      <c r="C8" s="17" t="s">
        <v>42</v>
      </c>
      <c r="D8" s="17" t="s">
        <v>43</v>
      </c>
      <c r="E8" s="19" t="s">
        <v>4</v>
      </c>
      <c r="F8" s="20" t="s">
        <v>44</v>
      </c>
    </row>
    <row r="9" customFormat="false" ht="84.75" hidden="false" customHeight="true" outlineLevel="0" collapsed="false">
      <c r="A9" s="16"/>
      <c r="B9" s="16"/>
      <c r="C9" s="17" t="s">
        <v>45</v>
      </c>
      <c r="D9" s="17" t="s">
        <v>46</v>
      </c>
      <c r="E9" s="19" t="s">
        <v>4</v>
      </c>
      <c r="F9" s="20" t="s">
        <v>47</v>
      </c>
    </row>
    <row r="10" customFormat="false" ht="151.5" hidden="false" customHeight="true" outlineLevel="0" collapsed="false">
      <c r="A10" s="16"/>
      <c r="B10" s="16"/>
      <c r="C10" s="17" t="s">
        <v>48</v>
      </c>
      <c r="D10" s="17" t="s">
        <v>49</v>
      </c>
      <c r="E10" s="21" t="s">
        <v>3</v>
      </c>
      <c r="F10" s="20" t="s">
        <v>50</v>
      </c>
    </row>
    <row r="11" customFormat="false" ht="84.75" hidden="false" customHeight="true" outlineLevel="0" collapsed="false">
      <c r="A11" s="16"/>
      <c r="B11" s="16"/>
      <c r="C11" s="17" t="s">
        <v>51</v>
      </c>
      <c r="D11" s="17" t="s">
        <v>52</v>
      </c>
      <c r="E11" s="19" t="s">
        <v>4</v>
      </c>
      <c r="F11" s="20" t="s">
        <v>53</v>
      </c>
    </row>
    <row r="12" customFormat="false" ht="102" hidden="false" customHeight="true" outlineLevel="0" collapsed="false">
      <c r="A12" s="16"/>
      <c r="B12" s="16"/>
      <c r="C12" s="17" t="s">
        <v>54</v>
      </c>
      <c r="D12" s="17" t="s">
        <v>55</v>
      </c>
      <c r="E12" s="19" t="s">
        <v>4</v>
      </c>
      <c r="F12" s="20" t="s">
        <v>56</v>
      </c>
    </row>
    <row r="13" customFormat="false" ht="33.75" hidden="false" customHeight="true" outlineLevel="0" collapsed="false">
      <c r="A13" s="16" t="s">
        <v>57</v>
      </c>
      <c r="B13" s="17" t="s">
        <v>58</v>
      </c>
      <c r="C13" s="17" t="s">
        <v>59</v>
      </c>
      <c r="D13" s="17" t="s">
        <v>60</v>
      </c>
      <c r="E13" s="19" t="s">
        <v>4</v>
      </c>
      <c r="F13" s="20" t="s">
        <v>61</v>
      </c>
    </row>
    <row r="14" customFormat="false" ht="67.5" hidden="false" customHeight="true" outlineLevel="0" collapsed="false">
      <c r="A14" s="16"/>
      <c r="B14" s="16"/>
      <c r="C14" s="17" t="s">
        <v>62</v>
      </c>
      <c r="D14" s="17" t="s">
        <v>63</v>
      </c>
      <c r="E14" s="19" t="s">
        <v>4</v>
      </c>
      <c r="F14" s="20" t="s">
        <v>64</v>
      </c>
    </row>
    <row r="15" customFormat="false" ht="84.75" hidden="false" customHeight="true" outlineLevel="0" collapsed="false">
      <c r="A15" s="16"/>
      <c r="B15" s="16"/>
      <c r="C15" s="17" t="s">
        <v>65</v>
      </c>
      <c r="D15" s="17" t="s">
        <v>66</v>
      </c>
      <c r="E15" s="19" t="s">
        <v>4</v>
      </c>
      <c r="F15" s="20" t="s">
        <v>67</v>
      </c>
    </row>
    <row r="16" customFormat="false" ht="84.75" hidden="false" customHeight="true" outlineLevel="0" collapsed="false">
      <c r="A16" s="16"/>
      <c r="B16" s="16"/>
      <c r="C16" s="17" t="s">
        <v>68</v>
      </c>
      <c r="D16" s="17" t="s">
        <v>69</v>
      </c>
      <c r="E16" s="19" t="s">
        <v>4</v>
      </c>
      <c r="F16" s="20" t="s">
        <v>70</v>
      </c>
    </row>
    <row r="17" customFormat="false" ht="33.75" hidden="false" customHeight="true" outlineLevel="0" collapsed="false">
      <c r="A17" s="16" t="s">
        <v>71</v>
      </c>
      <c r="B17" s="17" t="s">
        <v>72</v>
      </c>
      <c r="C17" s="17" t="s">
        <v>73</v>
      </c>
      <c r="D17" s="17" t="s">
        <v>74</v>
      </c>
      <c r="E17" s="19" t="s">
        <v>4</v>
      </c>
      <c r="F17" s="20" t="s">
        <v>75</v>
      </c>
    </row>
    <row r="18" customFormat="false" ht="67.5" hidden="false" customHeight="true" outlineLevel="0" collapsed="false">
      <c r="A18" s="16"/>
      <c r="B18" s="16"/>
      <c r="C18" s="17" t="s">
        <v>76</v>
      </c>
      <c r="D18" s="17" t="s">
        <v>77</v>
      </c>
      <c r="E18" s="19" t="s">
        <v>4</v>
      </c>
      <c r="F18" s="20" t="s">
        <v>78</v>
      </c>
    </row>
    <row r="19" customFormat="false" ht="51" hidden="false" customHeight="true" outlineLevel="0" collapsed="false">
      <c r="A19" s="16"/>
      <c r="B19" s="16"/>
      <c r="C19" s="17" t="s">
        <v>79</v>
      </c>
      <c r="D19" s="17" t="s">
        <v>80</v>
      </c>
      <c r="E19" s="19" t="s">
        <v>4</v>
      </c>
      <c r="F19" s="20" t="s">
        <v>81</v>
      </c>
    </row>
    <row r="20" customFormat="false" ht="33.75" hidden="false" customHeight="true" outlineLevel="0" collapsed="false">
      <c r="A20" s="16"/>
      <c r="B20" s="16"/>
      <c r="C20" s="17" t="s">
        <v>82</v>
      </c>
      <c r="D20" s="17" t="s">
        <v>83</v>
      </c>
      <c r="E20" s="19" t="s">
        <v>4</v>
      </c>
      <c r="F20" s="20" t="s">
        <v>84</v>
      </c>
    </row>
    <row r="21" customFormat="false" ht="67.5" hidden="false" customHeight="true" outlineLevel="0" collapsed="false">
      <c r="A21" s="16"/>
      <c r="B21" s="16"/>
      <c r="C21" s="17" t="s">
        <v>85</v>
      </c>
      <c r="D21" s="17" t="s">
        <v>86</v>
      </c>
      <c r="E21" s="19" t="s">
        <v>4</v>
      </c>
      <c r="F21" s="20" t="s">
        <v>87</v>
      </c>
    </row>
    <row r="22" customFormat="false" ht="33.75" hidden="false" customHeight="true" outlineLevel="0" collapsed="false">
      <c r="A22" s="16"/>
      <c r="B22" s="16"/>
      <c r="C22" s="17" t="s">
        <v>88</v>
      </c>
      <c r="D22" s="17" t="s">
        <v>89</v>
      </c>
      <c r="E22" s="19" t="s">
        <v>4</v>
      </c>
      <c r="F22" s="20" t="s">
        <v>90</v>
      </c>
    </row>
    <row r="23" customFormat="false" ht="67.5" hidden="false" customHeight="true" outlineLevel="0" collapsed="false">
      <c r="A23" s="16" t="s">
        <v>91</v>
      </c>
      <c r="B23" s="17" t="s">
        <v>92</v>
      </c>
      <c r="C23" s="17" t="s">
        <v>93</v>
      </c>
      <c r="D23" s="17" t="s">
        <v>94</v>
      </c>
      <c r="E23" s="19" t="s">
        <v>4</v>
      </c>
      <c r="F23" s="20" t="s">
        <v>95</v>
      </c>
    </row>
    <row r="24" customFormat="false" ht="51" hidden="false" customHeight="true" outlineLevel="0" collapsed="false">
      <c r="A24" s="16"/>
      <c r="B24" s="16"/>
      <c r="C24" s="17" t="s">
        <v>96</v>
      </c>
      <c r="D24" s="17" t="s">
        <v>97</v>
      </c>
      <c r="E24" s="19" t="s">
        <v>4</v>
      </c>
      <c r="F24" s="20" t="s">
        <v>98</v>
      </c>
    </row>
    <row r="25" customFormat="false" ht="67.5" hidden="false" customHeight="true" outlineLevel="0" collapsed="false">
      <c r="A25" s="16"/>
      <c r="B25" s="16"/>
      <c r="C25" s="17" t="s">
        <v>99</v>
      </c>
      <c r="D25" s="17" t="s">
        <v>100</v>
      </c>
      <c r="E25" s="19" t="s">
        <v>4</v>
      </c>
      <c r="F25" s="20" t="s">
        <v>101</v>
      </c>
    </row>
    <row r="26" customFormat="false" ht="15.75" hidden="true" customHeight="false" outlineLevel="0" collapsed="false">
      <c r="C26" s="17"/>
    </row>
    <row r="27" customFormat="false" ht="15.75" hidden="true" customHeight="false" outlineLevel="0" collapsed="false">
      <c r="C27" s="17"/>
    </row>
    <row r="28" customFormat="false" ht="15.75" hidden="true" customHeight="false" outlineLevel="0" collapsed="false">
      <c r="C28" s="17"/>
    </row>
    <row r="29" customFormat="false" ht="15.75" hidden="true" customHeight="false" outlineLevel="0" collapsed="false">
      <c r="C29" s="17"/>
    </row>
    <row r="30" customFormat="false" ht="15.75" hidden="true" customHeight="false" outlineLevel="0" collapsed="false">
      <c r="C30" s="17"/>
    </row>
    <row r="31" customFormat="false" ht="15.75" hidden="true" customHeight="false" outlineLevel="0" collapsed="false">
      <c r="C31" s="17"/>
    </row>
    <row r="32" customFormat="false" ht="15.75" hidden="true" customHeight="false" outlineLevel="0" collapsed="false">
      <c r="C32" s="17"/>
    </row>
    <row r="33" customFormat="false" ht="15.75" hidden="true" customHeight="false" outlineLevel="0" collapsed="false">
      <c r="C33" s="17"/>
    </row>
    <row r="34" customFormat="false" ht="15.75" hidden="true" customHeight="false" outlineLevel="0" collapsed="false">
      <c r="C34" s="17"/>
    </row>
    <row r="35" customFormat="false" ht="15.75" hidden="true" customHeight="false" outlineLevel="0" collapsed="false">
      <c r="C35" s="17"/>
    </row>
    <row r="36" customFormat="false" ht="15.75" hidden="true" customHeight="false" outlineLevel="0" collapsed="false">
      <c r="C36" s="17"/>
    </row>
    <row r="37" customFormat="false" ht="15.75" hidden="true" customHeight="false" outlineLevel="0" collapsed="false">
      <c r="C37" s="17"/>
    </row>
    <row r="38" customFormat="false" ht="15.75" hidden="true" customHeight="false" outlineLevel="0" collapsed="false">
      <c r="C38" s="17"/>
    </row>
    <row r="39" customFormat="false" ht="15.75" hidden="true" customHeight="false" outlineLevel="0" collapsed="false">
      <c r="C39" s="17"/>
    </row>
    <row r="40" customFormat="false" ht="15.75" hidden="true" customHeight="false" outlineLevel="0" collapsed="false">
      <c r="C40" s="17"/>
    </row>
    <row r="41" customFormat="false" ht="15.75" hidden="true" customHeight="false" outlineLevel="0" collapsed="false">
      <c r="C41" s="17"/>
    </row>
    <row r="42" customFormat="false" ht="15.75" hidden="true" customHeight="false" outlineLevel="0" collapsed="false">
      <c r="C42" s="17"/>
    </row>
    <row r="43" customFormat="false" ht="15.75" hidden="true" customHeight="false" outlineLevel="0" collapsed="false">
      <c r="C43" s="17"/>
    </row>
    <row r="44" customFormat="false" ht="15.75" hidden="true" customHeight="false" outlineLevel="0" collapsed="false">
      <c r="C44" s="17"/>
    </row>
    <row r="45" customFormat="false" ht="15.75" hidden="true" customHeight="false" outlineLevel="0" collapsed="false">
      <c r="C45" s="17"/>
    </row>
    <row r="46" customFormat="false" ht="15.75" hidden="true" customHeight="false" outlineLevel="0" collapsed="false">
      <c r="C46" s="17"/>
    </row>
    <row r="47" customFormat="false" ht="15.75" hidden="true" customHeight="false" outlineLevel="0" collapsed="false">
      <c r="C47" s="17"/>
    </row>
  </sheetData>
  <mergeCells count="10">
    <mergeCell ref="A2:A7"/>
    <mergeCell ref="B2:B7"/>
    <mergeCell ref="A8:A12"/>
    <mergeCell ref="B8:B12"/>
    <mergeCell ref="A13:A16"/>
    <mergeCell ref="B13:B16"/>
    <mergeCell ref="A17:A22"/>
    <mergeCell ref="B17:B22"/>
    <mergeCell ref="A23:A25"/>
    <mergeCell ref="B23:B25"/>
  </mergeCells>
  <printOptions headings="false" gridLines="true" gridLinesSet="true" horizontalCentered="false" verticalCentered="false"/>
  <pageMargins left="0.7" right="0.7" top="0.75" bottom="0.75" header="0.3" footer="0.3"/>
  <pageSetup paperSize="1" scale="100" fitToWidth="1" fitToHeight="44" pageOrder="downThenOver" orientation="landscape" blackAndWhite="false" draft="false" cellComments="none" horizontalDpi="300" verticalDpi="300" copies="1"/>
  <headerFooter differentFirst="false" differentOddEven="false">
    <oddHeader>&amp;L&amp;10 NIST Cybersecurity Framework - Identify&amp;R&amp;10 ISACA IS Audit/Assurance Program</oddHeader>
    <oddFooter>&amp;L&amp;9 Copyright 2016&amp;C&amp;10 ISACA&amp;R&amp;10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true"/>
  </sheetPr>
  <dimension ref="A1:F3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A1" activeCellId="0" sqref="A1"/>
    </sheetView>
  </sheetViews>
  <sheetFormatPr defaultColWidth="9.1640625" defaultRowHeight="15.75" zeroHeight="true" outlineLevelRow="0" outlineLevelCol="0"/>
  <cols>
    <col collapsed="false" customWidth="true" hidden="false" outlineLevel="0" max="1" min="1" style="9" width="10.66"/>
    <col collapsed="false" customWidth="true" hidden="false" outlineLevel="0" max="2" min="2" style="9" width="25.67"/>
    <col collapsed="false" customWidth="true" hidden="false" outlineLevel="0" max="3" min="3" style="10" width="28.67"/>
    <col collapsed="false" customWidth="true" hidden="false" outlineLevel="0" max="4" min="4" style="9" width="68.66"/>
    <col collapsed="false" customWidth="true" hidden="false" outlineLevel="0" max="5" min="5" style="8" width="10"/>
    <col collapsed="false" customWidth="true" hidden="false" outlineLevel="0" max="6" min="6" style="9" width="70"/>
    <col collapsed="false" customWidth="false" hidden="true" outlineLevel="0" max="16383" min="7" style="9" width="9.16"/>
    <col collapsed="false" customWidth="true" hidden="true" outlineLevel="0" max="16384" min="16384" style="9" width="2.67"/>
  </cols>
  <sheetData>
    <row r="1" s="24" customFormat="true" ht="61.5" hidden="false" customHeight="true" outlineLevel="0" collapsed="false">
      <c r="A1" s="22" t="s">
        <v>14</v>
      </c>
      <c r="B1" s="23" t="s">
        <v>15</v>
      </c>
      <c r="C1" s="23" t="s">
        <v>16</v>
      </c>
      <c r="D1" s="23" t="s">
        <v>17</v>
      </c>
      <c r="E1" s="22" t="s">
        <v>18</v>
      </c>
      <c r="F1" s="23" t="s">
        <v>19</v>
      </c>
    </row>
    <row r="2" customFormat="false" ht="220.5" hidden="false" customHeight="true" outlineLevel="0" collapsed="false">
      <c r="A2" s="16" t="s">
        <v>102</v>
      </c>
      <c r="B2" s="18" t="s">
        <v>103</v>
      </c>
      <c r="C2" s="17" t="s">
        <v>104</v>
      </c>
      <c r="D2" s="25" t="s">
        <v>105</v>
      </c>
      <c r="E2" s="19" t="s">
        <v>4</v>
      </c>
      <c r="F2" s="20" t="s">
        <v>106</v>
      </c>
    </row>
    <row r="3" customFormat="false" ht="102" hidden="false" customHeight="true" outlineLevel="0" collapsed="false">
      <c r="A3" s="16"/>
      <c r="B3" s="16"/>
      <c r="C3" s="17" t="s">
        <v>107</v>
      </c>
      <c r="D3" s="25" t="s">
        <v>108</v>
      </c>
      <c r="E3" s="21" t="s">
        <v>3</v>
      </c>
      <c r="F3" s="20" t="s">
        <v>109</v>
      </c>
    </row>
    <row r="4" customFormat="false" ht="84.75" hidden="false" customHeight="true" outlineLevel="0" collapsed="false">
      <c r="A4" s="16"/>
      <c r="B4" s="16"/>
      <c r="C4" s="17" t="s">
        <v>110</v>
      </c>
      <c r="D4" s="25" t="s">
        <v>111</v>
      </c>
      <c r="E4" s="19" t="s">
        <v>4</v>
      </c>
      <c r="F4" s="20" t="s">
        <v>112</v>
      </c>
    </row>
    <row r="5" customFormat="false" ht="84.75" hidden="false" customHeight="true" outlineLevel="0" collapsed="false">
      <c r="A5" s="16"/>
      <c r="B5" s="16"/>
      <c r="C5" s="17" t="s">
        <v>113</v>
      </c>
      <c r="D5" s="25" t="s">
        <v>114</v>
      </c>
      <c r="E5" s="19" t="s">
        <v>4</v>
      </c>
      <c r="F5" s="20" t="s">
        <v>115</v>
      </c>
    </row>
    <row r="6" customFormat="false" ht="51" hidden="false" customHeight="true" outlineLevel="0" collapsed="false">
      <c r="A6" s="16"/>
      <c r="B6" s="16"/>
      <c r="C6" s="17" t="s">
        <v>116</v>
      </c>
      <c r="D6" s="25" t="s">
        <v>117</v>
      </c>
      <c r="E6" s="21" t="s">
        <v>3</v>
      </c>
      <c r="F6" s="20" t="s">
        <v>118</v>
      </c>
    </row>
    <row r="7" customFormat="false" ht="84.75" hidden="false" customHeight="true" outlineLevel="0" collapsed="false">
      <c r="A7" s="16" t="s">
        <v>119</v>
      </c>
      <c r="B7" s="18" t="s">
        <v>120</v>
      </c>
      <c r="C7" s="17" t="s">
        <v>121</v>
      </c>
      <c r="D7" s="25" t="s">
        <v>122</v>
      </c>
      <c r="E7" s="19" t="s">
        <v>4</v>
      </c>
      <c r="F7" s="20" t="s">
        <v>123</v>
      </c>
    </row>
    <row r="8" customFormat="false" ht="51" hidden="false" customHeight="true" outlineLevel="0" collapsed="false">
      <c r="A8" s="16"/>
      <c r="B8" s="16"/>
      <c r="C8" s="17" t="s">
        <v>124</v>
      </c>
      <c r="D8" s="25" t="s">
        <v>125</v>
      </c>
      <c r="E8" s="19" t="s">
        <v>4</v>
      </c>
      <c r="F8" s="20" t="s">
        <v>126</v>
      </c>
    </row>
    <row r="9" customFormat="false" ht="84.75" hidden="false" customHeight="true" outlineLevel="0" collapsed="false">
      <c r="A9" s="16"/>
      <c r="B9" s="16"/>
      <c r="C9" s="17" t="s">
        <v>127</v>
      </c>
      <c r="D9" s="25" t="s">
        <v>128</v>
      </c>
      <c r="E9" s="19" t="s">
        <v>4</v>
      </c>
      <c r="F9" s="20" t="s">
        <v>129</v>
      </c>
    </row>
    <row r="10" customFormat="false" ht="102" hidden="false" customHeight="true" outlineLevel="0" collapsed="false">
      <c r="A10" s="16"/>
      <c r="B10" s="16"/>
      <c r="C10" s="17" t="s">
        <v>130</v>
      </c>
      <c r="D10" s="25" t="s">
        <v>131</v>
      </c>
      <c r="E10" s="19" t="s">
        <v>4</v>
      </c>
      <c r="F10" s="20" t="s">
        <v>132</v>
      </c>
    </row>
    <row r="11" customFormat="false" ht="102" hidden="false" customHeight="true" outlineLevel="0" collapsed="false">
      <c r="A11" s="16"/>
      <c r="B11" s="16"/>
      <c r="C11" s="17" t="s">
        <v>133</v>
      </c>
      <c r="D11" s="25" t="s">
        <v>134</v>
      </c>
      <c r="E11" s="19" t="s">
        <v>4</v>
      </c>
      <c r="F11" s="20" t="s">
        <v>135</v>
      </c>
    </row>
    <row r="12" customFormat="false" ht="118.5" hidden="false" customHeight="true" outlineLevel="0" collapsed="false">
      <c r="A12" s="16" t="s">
        <v>136</v>
      </c>
      <c r="B12" s="18" t="s">
        <v>137</v>
      </c>
      <c r="C12" s="17" t="s">
        <v>138</v>
      </c>
      <c r="D12" s="17" t="s">
        <v>139</v>
      </c>
      <c r="E12" s="19" t="s">
        <v>4</v>
      </c>
      <c r="F12" s="20" t="s">
        <v>140</v>
      </c>
    </row>
    <row r="13" customFormat="false" ht="153" hidden="false" customHeight="true" outlineLevel="0" collapsed="false">
      <c r="A13" s="16"/>
      <c r="B13" s="16"/>
      <c r="C13" s="17" t="s">
        <v>141</v>
      </c>
      <c r="D13" s="17" t="s">
        <v>142</v>
      </c>
      <c r="E13" s="19" t="s">
        <v>4</v>
      </c>
      <c r="F13" s="20" t="s">
        <v>143</v>
      </c>
    </row>
    <row r="14" customFormat="false" ht="51" hidden="false" customHeight="true" outlineLevel="0" collapsed="false">
      <c r="A14" s="16"/>
      <c r="B14" s="16"/>
      <c r="C14" s="17" t="s">
        <v>144</v>
      </c>
      <c r="D14" s="17" t="s">
        <v>145</v>
      </c>
      <c r="E14" s="19" t="s">
        <v>4</v>
      </c>
      <c r="F14" s="20" t="s">
        <v>146</v>
      </c>
    </row>
    <row r="15" customFormat="false" ht="84.75" hidden="false" customHeight="true" outlineLevel="0" collapsed="false">
      <c r="A15" s="16"/>
      <c r="B15" s="16"/>
      <c r="C15" s="17" t="s">
        <v>147</v>
      </c>
      <c r="D15" s="17" t="s">
        <v>148</v>
      </c>
      <c r="E15" s="21" t="s">
        <v>3</v>
      </c>
      <c r="F15" s="20" t="s">
        <v>149</v>
      </c>
    </row>
    <row r="16" customFormat="false" ht="33.75" hidden="false" customHeight="true" outlineLevel="0" collapsed="false">
      <c r="A16" s="16"/>
      <c r="B16" s="16"/>
      <c r="C16" s="17" t="s">
        <v>150</v>
      </c>
      <c r="D16" s="17" t="s">
        <v>151</v>
      </c>
      <c r="E16" s="19" t="s">
        <v>4</v>
      </c>
      <c r="F16" s="20" t="s">
        <v>152</v>
      </c>
    </row>
    <row r="17" customFormat="false" ht="67.5" hidden="false" customHeight="true" outlineLevel="0" collapsed="false">
      <c r="A17" s="16"/>
      <c r="B17" s="16"/>
      <c r="C17" s="17" t="s">
        <v>153</v>
      </c>
      <c r="D17" s="17" t="s">
        <v>154</v>
      </c>
      <c r="E17" s="26" t="s">
        <v>3</v>
      </c>
      <c r="F17" s="20" t="s">
        <v>155</v>
      </c>
    </row>
    <row r="18" customFormat="false" ht="67.5" hidden="false" customHeight="true" outlineLevel="0" collapsed="false">
      <c r="A18" s="16"/>
      <c r="B18" s="16"/>
      <c r="C18" s="17" t="s">
        <v>156</v>
      </c>
      <c r="D18" s="17" t="s">
        <v>157</v>
      </c>
      <c r="E18" s="21" t="s">
        <v>3</v>
      </c>
      <c r="F18" s="20" t="s">
        <v>158</v>
      </c>
    </row>
    <row r="19" customFormat="false" ht="84.75" hidden="false" customHeight="true" outlineLevel="0" collapsed="false">
      <c r="A19" s="16" t="s">
        <v>159</v>
      </c>
      <c r="B19" s="18" t="s">
        <v>160</v>
      </c>
      <c r="C19" s="17" t="s">
        <v>161</v>
      </c>
      <c r="D19" s="17" t="s">
        <v>162</v>
      </c>
      <c r="E19" s="21" t="s">
        <v>3</v>
      </c>
      <c r="F19" s="20" t="s">
        <v>163</v>
      </c>
    </row>
    <row r="20" customFormat="false" ht="51" hidden="false" customHeight="true" outlineLevel="0" collapsed="false">
      <c r="A20" s="16"/>
      <c r="B20" s="16"/>
      <c r="C20" s="17" t="s">
        <v>164</v>
      </c>
      <c r="D20" s="17" t="s">
        <v>165</v>
      </c>
      <c r="E20" s="21" t="s">
        <v>3</v>
      </c>
      <c r="F20" s="20" t="s">
        <v>166</v>
      </c>
    </row>
    <row r="21" customFormat="false" ht="51" hidden="false" customHeight="true" outlineLevel="0" collapsed="false">
      <c r="A21" s="16"/>
      <c r="B21" s="16"/>
      <c r="C21" s="17" t="s">
        <v>167</v>
      </c>
      <c r="D21" s="17" t="s">
        <v>168</v>
      </c>
      <c r="E21" s="19" t="s">
        <v>4</v>
      </c>
      <c r="F21" s="20" t="s">
        <v>169</v>
      </c>
    </row>
    <row r="22" customFormat="false" ht="51" hidden="false" customHeight="true" outlineLevel="0" collapsed="false">
      <c r="A22" s="16"/>
      <c r="B22" s="16"/>
      <c r="C22" s="17" t="s">
        <v>170</v>
      </c>
      <c r="D22" s="17" t="s">
        <v>171</v>
      </c>
      <c r="E22" s="21" t="s">
        <v>3</v>
      </c>
      <c r="F22" s="20" t="s">
        <v>172</v>
      </c>
    </row>
    <row r="23" customFormat="false" ht="67.5" hidden="false" customHeight="true" outlineLevel="0" collapsed="false">
      <c r="A23" s="16"/>
      <c r="B23" s="16"/>
      <c r="C23" s="17" t="s">
        <v>173</v>
      </c>
      <c r="D23" s="17" t="s">
        <v>174</v>
      </c>
      <c r="E23" s="21" t="s">
        <v>3</v>
      </c>
      <c r="F23" s="20" t="s">
        <v>175</v>
      </c>
    </row>
    <row r="24" customFormat="false" ht="33.75" hidden="false" customHeight="true" outlineLevel="0" collapsed="false">
      <c r="A24" s="16"/>
      <c r="B24" s="16"/>
      <c r="C24" s="17" t="s">
        <v>176</v>
      </c>
      <c r="D24" s="17" t="s">
        <v>177</v>
      </c>
      <c r="E24" s="19" t="s">
        <v>4</v>
      </c>
      <c r="F24" s="20" t="s">
        <v>178</v>
      </c>
    </row>
    <row r="25" customFormat="false" ht="33.75" hidden="false" customHeight="true" outlineLevel="0" collapsed="false">
      <c r="A25" s="16"/>
      <c r="B25" s="16"/>
      <c r="C25" s="17" t="s">
        <v>179</v>
      </c>
      <c r="D25" s="17" t="s">
        <v>180</v>
      </c>
      <c r="E25" s="19" t="s">
        <v>4</v>
      </c>
      <c r="F25" s="20" t="s">
        <v>181</v>
      </c>
    </row>
    <row r="26" customFormat="false" ht="51" hidden="false" customHeight="true" outlineLevel="0" collapsed="false">
      <c r="A26" s="16"/>
      <c r="B26" s="16"/>
      <c r="C26" s="17" t="s">
        <v>182</v>
      </c>
      <c r="D26" s="17" t="s">
        <v>183</v>
      </c>
      <c r="E26" s="19" t="s">
        <v>4</v>
      </c>
      <c r="F26" s="20" t="s">
        <v>184</v>
      </c>
    </row>
    <row r="27" customFormat="false" ht="102" hidden="false" customHeight="true" outlineLevel="0" collapsed="false">
      <c r="A27" s="16"/>
      <c r="B27" s="16"/>
      <c r="C27" s="17" t="s">
        <v>185</v>
      </c>
      <c r="D27" s="17" t="s">
        <v>186</v>
      </c>
      <c r="E27" s="19" t="s">
        <v>4</v>
      </c>
      <c r="F27" s="20" t="s">
        <v>187</v>
      </c>
    </row>
    <row r="28" customFormat="false" ht="33.75" hidden="false" customHeight="true" outlineLevel="0" collapsed="false">
      <c r="A28" s="16"/>
      <c r="B28" s="16"/>
      <c r="C28" s="17" t="s">
        <v>188</v>
      </c>
      <c r="D28" s="17" t="s">
        <v>189</v>
      </c>
      <c r="E28" s="19" t="s">
        <v>4</v>
      </c>
      <c r="F28" s="20" t="s">
        <v>190</v>
      </c>
    </row>
    <row r="29" customFormat="false" ht="102" hidden="false" customHeight="true" outlineLevel="0" collapsed="false">
      <c r="A29" s="16"/>
      <c r="B29" s="16"/>
      <c r="C29" s="17" t="s">
        <v>191</v>
      </c>
      <c r="D29" s="17" t="s">
        <v>192</v>
      </c>
      <c r="E29" s="19" t="s">
        <v>4</v>
      </c>
      <c r="F29" s="20" t="s">
        <v>193</v>
      </c>
    </row>
    <row r="30" customFormat="false" ht="33.75" hidden="false" customHeight="true" outlineLevel="0" collapsed="false">
      <c r="A30" s="16"/>
      <c r="B30" s="16"/>
      <c r="C30" s="17" t="s">
        <v>194</v>
      </c>
      <c r="D30" s="17" t="s">
        <v>195</v>
      </c>
      <c r="E30" s="19" t="s">
        <v>4</v>
      </c>
      <c r="F30" s="20" t="s">
        <v>196</v>
      </c>
    </row>
    <row r="31" customFormat="false" ht="84.75" hidden="false" customHeight="true" outlineLevel="0" collapsed="false">
      <c r="A31" s="16" t="s">
        <v>197</v>
      </c>
      <c r="B31" s="18" t="s">
        <v>198</v>
      </c>
      <c r="C31" s="17" t="s">
        <v>199</v>
      </c>
      <c r="D31" s="17" t="s">
        <v>200</v>
      </c>
      <c r="E31" s="21" t="s">
        <v>3</v>
      </c>
      <c r="F31" s="20" t="s">
        <v>201</v>
      </c>
    </row>
    <row r="32" customFormat="false" ht="84.75" hidden="false" customHeight="true" outlineLevel="0" collapsed="false">
      <c r="A32" s="16"/>
      <c r="B32" s="16"/>
      <c r="C32" s="17" t="s">
        <v>202</v>
      </c>
      <c r="D32" s="17" t="s">
        <v>203</v>
      </c>
      <c r="E32" s="21" t="s">
        <v>3</v>
      </c>
      <c r="F32" s="20" t="s">
        <v>204</v>
      </c>
    </row>
    <row r="33" customFormat="false" ht="271.5" hidden="false" customHeight="true" outlineLevel="0" collapsed="false">
      <c r="A33" s="16" t="s">
        <v>205</v>
      </c>
      <c r="B33" s="18" t="s">
        <v>206</v>
      </c>
      <c r="C33" s="17" t="s">
        <v>207</v>
      </c>
      <c r="D33" s="17" t="s">
        <v>208</v>
      </c>
      <c r="E33" s="19" t="s">
        <v>4</v>
      </c>
      <c r="F33" s="20" t="s">
        <v>209</v>
      </c>
    </row>
    <row r="34" customFormat="false" ht="51" hidden="false" customHeight="true" outlineLevel="0" collapsed="false">
      <c r="A34" s="16"/>
      <c r="B34" s="16"/>
      <c r="C34" s="17" t="s">
        <v>210</v>
      </c>
      <c r="D34" s="17" t="s">
        <v>211</v>
      </c>
      <c r="E34" s="19" t="s">
        <v>4</v>
      </c>
      <c r="F34" s="20" t="s">
        <v>212</v>
      </c>
    </row>
    <row r="35" customFormat="false" ht="102" hidden="false" customHeight="true" outlineLevel="0" collapsed="false">
      <c r="A35" s="16"/>
      <c r="B35" s="16"/>
      <c r="C35" s="17" t="s">
        <v>213</v>
      </c>
      <c r="D35" s="25" t="s">
        <v>214</v>
      </c>
      <c r="E35" s="21" t="s">
        <v>3</v>
      </c>
      <c r="F35" s="20" t="s">
        <v>215</v>
      </c>
    </row>
    <row r="36" customFormat="false" ht="33.75" hidden="false" customHeight="true" outlineLevel="0" collapsed="false">
      <c r="A36" s="16"/>
      <c r="B36" s="16"/>
      <c r="C36" s="17" t="s">
        <v>216</v>
      </c>
      <c r="D36" s="17" t="s">
        <v>217</v>
      </c>
      <c r="E36" s="21" t="s">
        <v>3</v>
      </c>
      <c r="F36" s="20" t="s">
        <v>218</v>
      </c>
    </row>
  </sheetData>
  <mergeCells count="12">
    <mergeCell ref="A2:A6"/>
    <mergeCell ref="B2:B6"/>
    <mergeCell ref="A7:A11"/>
    <mergeCell ref="B7:B11"/>
    <mergeCell ref="A12:A18"/>
    <mergeCell ref="B12:B18"/>
    <mergeCell ref="A19:A30"/>
    <mergeCell ref="B19:B30"/>
    <mergeCell ref="A31:A32"/>
    <mergeCell ref="B31:B32"/>
    <mergeCell ref="A33:A36"/>
    <mergeCell ref="B33:B36"/>
  </mergeCells>
  <printOptions headings="false" gridLines="true" gridLinesSet="true" horizontalCentered="false" verticalCentered="false"/>
  <pageMargins left="0.7" right="0.7" top="0.75" bottom="0.75" header="0.3" footer="0.3"/>
  <pageSetup paperSize="1" scale="100" fitToWidth="1" fitToHeight="100" pageOrder="downThenOver" orientation="landscape" blackAndWhite="false" draft="false" cellComments="none" horizontalDpi="300" verticalDpi="300" copies="1"/>
  <headerFooter differentFirst="false" differentOddEven="false">
    <oddHeader>&amp;L&amp;10 NIST Cybersecurity Framework - Protect&amp;R&amp;10 ISACA IS Audit/Assurance Program</oddHeader>
    <oddFooter>&amp;L&amp;9 Copyright 2016&amp;C&amp;10 ISACA&amp;R&amp;10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7E4BD"/>
    <pageSetUpPr fitToPage="true"/>
  </sheetPr>
  <dimension ref="A1:F19"/>
  <sheetViews>
    <sheetView showFormulas="false" showGridLines="true" showRowColHeaders="true" showZeros="true" rightToLeft="false" tabSelected="false" showOutlineSymbols="true" defaultGridColor="true" view="normal" topLeftCell="A1" colorId="64" zoomScale="141" zoomScaleNormal="141" zoomScalePageLayoutView="100" workbookViewId="0">
      <selection pane="topLeft" activeCell="A1" activeCellId="0" sqref="A1"/>
    </sheetView>
  </sheetViews>
  <sheetFormatPr defaultColWidth="9.1640625" defaultRowHeight="15.75" zeroHeight="true" outlineLevelRow="0" outlineLevelCol="0"/>
  <cols>
    <col collapsed="false" customWidth="true" hidden="false" outlineLevel="0" max="1" min="1" style="9" width="10.66"/>
    <col collapsed="false" customWidth="true" hidden="false" outlineLevel="0" max="2" min="2" style="9" width="25.67"/>
    <col collapsed="false" customWidth="true" hidden="false" outlineLevel="0" max="3" min="3" style="10" width="28.67"/>
    <col collapsed="false" customWidth="true" hidden="false" outlineLevel="0" max="4" min="4" style="9" width="68.66"/>
    <col collapsed="false" customWidth="true" hidden="false" outlineLevel="0" max="5" min="5" style="8" width="10"/>
    <col collapsed="false" customWidth="true" hidden="false" outlineLevel="0" max="6" min="6" style="9" width="70"/>
    <col collapsed="false" customWidth="false" hidden="true" outlineLevel="0" max="16383" min="7" style="9" width="9.16"/>
    <col collapsed="false" customWidth="true" hidden="true" outlineLevel="0" max="16384" min="16384" style="9" width="22.5"/>
  </cols>
  <sheetData>
    <row r="1" s="10" customFormat="true" ht="58.5" hidden="false" customHeight="true" outlineLevel="0" collapsed="false">
      <c r="A1" s="27" t="s">
        <v>14</v>
      </c>
      <c r="B1" s="28" t="s">
        <v>15</v>
      </c>
      <c r="C1" s="28" t="s">
        <v>16</v>
      </c>
      <c r="D1" s="28" t="s">
        <v>17</v>
      </c>
      <c r="E1" s="27" t="s">
        <v>18</v>
      </c>
      <c r="F1" s="28" t="s">
        <v>19</v>
      </c>
    </row>
    <row r="2" customFormat="false" ht="67.5" hidden="false" customHeight="true" outlineLevel="0" collapsed="false">
      <c r="A2" s="16" t="s">
        <v>219</v>
      </c>
      <c r="B2" s="18" t="s">
        <v>220</v>
      </c>
      <c r="C2" s="17" t="s">
        <v>221</v>
      </c>
      <c r="D2" s="17" t="s">
        <v>222</v>
      </c>
      <c r="E2" s="19" t="s">
        <v>4</v>
      </c>
      <c r="F2" s="20" t="s">
        <v>223</v>
      </c>
    </row>
    <row r="3" customFormat="false" ht="51" hidden="false" customHeight="true" outlineLevel="0" collapsed="false">
      <c r="A3" s="16"/>
      <c r="B3" s="16"/>
      <c r="C3" s="17" t="s">
        <v>224</v>
      </c>
      <c r="D3" s="17" t="s">
        <v>225</v>
      </c>
      <c r="E3" s="19" t="s">
        <v>4</v>
      </c>
      <c r="F3" s="20" t="s">
        <v>226</v>
      </c>
    </row>
    <row r="4" customFormat="false" ht="51" hidden="false" customHeight="true" outlineLevel="0" collapsed="false">
      <c r="A4" s="16"/>
      <c r="B4" s="16"/>
      <c r="C4" s="17" t="s">
        <v>227</v>
      </c>
      <c r="D4" s="25" t="s">
        <v>228</v>
      </c>
      <c r="E4" s="19" t="s">
        <v>4</v>
      </c>
      <c r="F4" s="20" t="s">
        <v>229</v>
      </c>
    </row>
    <row r="5" customFormat="false" ht="33.75" hidden="false" customHeight="true" outlineLevel="0" collapsed="false">
      <c r="A5" s="16"/>
      <c r="B5" s="16"/>
      <c r="C5" s="17" t="s">
        <v>230</v>
      </c>
      <c r="D5" s="25" t="s">
        <v>231</v>
      </c>
      <c r="E5" s="19" t="s">
        <v>4</v>
      </c>
      <c r="F5" s="20" t="s">
        <v>232</v>
      </c>
    </row>
    <row r="6" customFormat="false" ht="33.75" hidden="false" customHeight="true" outlineLevel="0" collapsed="false">
      <c r="A6" s="16"/>
      <c r="B6" s="16"/>
      <c r="C6" s="17" t="s">
        <v>233</v>
      </c>
      <c r="D6" s="25" t="s">
        <v>234</v>
      </c>
      <c r="E6" s="19" t="s">
        <v>4</v>
      </c>
      <c r="F6" s="20" t="s">
        <v>235</v>
      </c>
    </row>
    <row r="7" customFormat="false" ht="51" hidden="false" customHeight="true" outlineLevel="0" collapsed="false">
      <c r="A7" s="16" t="s">
        <v>236</v>
      </c>
      <c r="B7" s="18" t="s">
        <v>237</v>
      </c>
      <c r="C7" s="17" t="s">
        <v>238</v>
      </c>
      <c r="D7" s="17" t="s">
        <v>239</v>
      </c>
      <c r="E7" s="19" t="s">
        <v>4</v>
      </c>
      <c r="F7" s="20" t="s">
        <v>240</v>
      </c>
    </row>
    <row r="8" customFormat="false" ht="51" hidden="false" customHeight="true" outlineLevel="0" collapsed="false">
      <c r="A8" s="16"/>
      <c r="B8" s="16"/>
      <c r="C8" s="17" t="s">
        <v>241</v>
      </c>
      <c r="D8" s="17" t="s">
        <v>242</v>
      </c>
      <c r="E8" s="21" t="s">
        <v>3</v>
      </c>
      <c r="F8" s="20" t="s">
        <v>243</v>
      </c>
    </row>
    <row r="9" customFormat="false" ht="51" hidden="false" customHeight="true" outlineLevel="0" collapsed="false">
      <c r="A9" s="16"/>
      <c r="B9" s="16"/>
      <c r="C9" s="17" t="s">
        <v>244</v>
      </c>
      <c r="D9" s="17" t="s">
        <v>245</v>
      </c>
      <c r="E9" s="19" t="s">
        <v>4</v>
      </c>
      <c r="F9" s="20" t="s">
        <v>246</v>
      </c>
    </row>
    <row r="10" customFormat="false" ht="153" hidden="false" customHeight="true" outlineLevel="0" collapsed="false">
      <c r="A10" s="16"/>
      <c r="B10" s="16"/>
      <c r="C10" s="17" t="s">
        <v>247</v>
      </c>
      <c r="D10" s="17" t="s">
        <v>248</v>
      </c>
      <c r="E10" s="21" t="s">
        <v>3</v>
      </c>
      <c r="F10" s="20" t="s">
        <v>249</v>
      </c>
    </row>
    <row r="11" customFormat="false" ht="33.75" hidden="false" customHeight="true" outlineLevel="0" collapsed="false">
      <c r="A11" s="16"/>
      <c r="B11" s="16"/>
      <c r="C11" s="17" t="s">
        <v>250</v>
      </c>
      <c r="D11" s="25" t="s">
        <v>251</v>
      </c>
      <c r="E11" s="21" t="s">
        <v>3</v>
      </c>
      <c r="F11" s="20" t="s">
        <v>252</v>
      </c>
    </row>
    <row r="12" customFormat="false" ht="51" hidden="false" customHeight="true" outlineLevel="0" collapsed="false">
      <c r="A12" s="16"/>
      <c r="B12" s="16"/>
      <c r="C12" s="17" t="s">
        <v>253</v>
      </c>
      <c r="D12" s="25" t="s">
        <v>254</v>
      </c>
      <c r="E12" s="19" t="s">
        <v>4</v>
      </c>
      <c r="F12" s="20" t="s">
        <v>255</v>
      </c>
    </row>
    <row r="13" customFormat="false" ht="118.5" hidden="false" customHeight="true" outlineLevel="0" collapsed="false">
      <c r="A13" s="16"/>
      <c r="B13" s="16"/>
      <c r="C13" s="17" t="s">
        <v>256</v>
      </c>
      <c r="D13" s="25" t="s">
        <v>257</v>
      </c>
      <c r="E13" s="19" t="s">
        <v>4</v>
      </c>
      <c r="F13" s="20" t="s">
        <v>258</v>
      </c>
    </row>
    <row r="14" customFormat="false" ht="33.75" hidden="false" customHeight="true" outlineLevel="0" collapsed="false">
      <c r="A14" s="16"/>
      <c r="B14" s="16"/>
      <c r="C14" s="17" t="s">
        <v>259</v>
      </c>
      <c r="D14" s="25" t="s">
        <v>260</v>
      </c>
      <c r="E14" s="19" t="s">
        <v>4</v>
      </c>
      <c r="F14" s="20" t="s">
        <v>261</v>
      </c>
    </row>
    <row r="15" customFormat="false" ht="51" hidden="false" customHeight="true" outlineLevel="0" collapsed="false">
      <c r="A15" s="16" t="s">
        <v>262</v>
      </c>
      <c r="B15" s="18" t="s">
        <v>263</v>
      </c>
      <c r="C15" s="17" t="s">
        <v>264</v>
      </c>
      <c r="D15" s="17" t="s">
        <v>265</v>
      </c>
      <c r="E15" s="19" t="s">
        <v>4</v>
      </c>
      <c r="F15" s="20" t="s">
        <v>266</v>
      </c>
    </row>
    <row r="16" customFormat="false" ht="33.75" hidden="false" customHeight="true" outlineLevel="0" collapsed="false">
      <c r="A16" s="16"/>
      <c r="B16" s="16"/>
      <c r="C16" s="17" t="s">
        <v>267</v>
      </c>
      <c r="D16" s="17" t="s">
        <v>268</v>
      </c>
      <c r="E16" s="19" t="s">
        <v>4</v>
      </c>
      <c r="F16" s="20" t="s">
        <v>269</v>
      </c>
    </row>
    <row r="17" customFormat="false" ht="67.5" hidden="false" customHeight="true" outlineLevel="0" collapsed="false">
      <c r="A17" s="16"/>
      <c r="B17" s="16"/>
      <c r="C17" s="17" t="s">
        <v>270</v>
      </c>
      <c r="D17" s="17" t="s">
        <v>271</v>
      </c>
      <c r="E17" s="19" t="s">
        <v>4</v>
      </c>
      <c r="F17" s="20" t="s">
        <v>272</v>
      </c>
    </row>
    <row r="18" customFormat="false" ht="51" hidden="false" customHeight="true" outlineLevel="0" collapsed="false">
      <c r="A18" s="16"/>
      <c r="B18" s="16"/>
      <c r="C18" s="17" t="s">
        <v>273</v>
      </c>
      <c r="D18" s="17" t="s">
        <v>274</v>
      </c>
      <c r="E18" s="19" t="s">
        <v>4</v>
      </c>
      <c r="F18" s="20" t="s">
        <v>275</v>
      </c>
    </row>
    <row r="19" customFormat="false" ht="33.75" hidden="false" customHeight="true" outlineLevel="0" collapsed="false">
      <c r="A19" s="16"/>
      <c r="B19" s="16"/>
      <c r="C19" s="17" t="s">
        <v>276</v>
      </c>
      <c r="D19" s="17" t="s">
        <v>277</v>
      </c>
      <c r="E19" s="19" t="s">
        <v>4</v>
      </c>
      <c r="F19" s="20" t="s">
        <v>278</v>
      </c>
    </row>
  </sheetData>
  <mergeCells count="6">
    <mergeCell ref="A2:A6"/>
    <mergeCell ref="B2:B6"/>
    <mergeCell ref="A7:A14"/>
    <mergeCell ref="B7:B14"/>
    <mergeCell ref="A15:A19"/>
    <mergeCell ref="B15:B19"/>
  </mergeCells>
  <printOptions headings="false" gridLines="true" gridLinesSet="true" horizontalCentered="false" verticalCentered="false"/>
  <pageMargins left="0.7" right="0.7" top="0.75" bottom="0.75" header="0.3" footer="0.3"/>
  <pageSetup paperSize="1" scale="100" fitToWidth="1" fitToHeight="100" pageOrder="downThenOver" orientation="landscape" blackAndWhite="false" draft="false" cellComments="none" horizontalDpi="300" verticalDpi="300" copies="1"/>
  <headerFooter differentFirst="false" differentOddEven="false">
    <oddHeader>&amp;L&amp;10 NIST Cybersecurity Framework - Detect&amp;R&amp;10 ISACA IS Audit/Assurance Program</oddHeader>
    <oddFooter>&amp;L&amp;9 Copyright 2016&amp;C&amp;10 ISACA&amp;R&amp;10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C1DA"/>
    <pageSetUpPr fitToPage="true"/>
  </sheetPr>
  <dimension ref="A1:F16"/>
  <sheetViews>
    <sheetView showFormulas="false" showGridLines="true" showRowColHeaders="true" showZeros="true" rightToLeft="false" tabSelected="true" showOutlineSymbols="true" defaultGridColor="true" view="normal" topLeftCell="A1" colorId="64" zoomScale="125" zoomScaleNormal="125" zoomScalePageLayoutView="100" workbookViewId="0">
      <selection pane="topLeft" activeCell="D4" activeCellId="0" sqref="D4"/>
    </sheetView>
  </sheetViews>
  <sheetFormatPr defaultColWidth="9.1640625" defaultRowHeight="15.75" zeroHeight="true" outlineLevelRow="0" outlineLevelCol="0"/>
  <cols>
    <col collapsed="false" customWidth="true" hidden="false" outlineLevel="0" max="1" min="1" style="8" width="10.66"/>
    <col collapsed="false" customWidth="true" hidden="false" outlineLevel="0" max="2" min="2" style="9" width="25.67"/>
    <col collapsed="false" customWidth="true" hidden="false" outlineLevel="0" max="3" min="3" style="10" width="28.67"/>
    <col collapsed="false" customWidth="true" hidden="false" outlineLevel="0" max="4" min="4" style="17" width="68.66"/>
    <col collapsed="false" customWidth="true" hidden="false" outlineLevel="0" max="5" min="5" style="8" width="10"/>
    <col collapsed="false" customWidth="true" hidden="false" outlineLevel="0" max="6" min="6" style="9" width="70"/>
    <col collapsed="false" customWidth="false" hidden="true" outlineLevel="0" max="16384" min="7" style="9" width="9.16"/>
  </cols>
  <sheetData>
    <row r="1" s="24" customFormat="true" ht="33.75" hidden="false" customHeight="true" outlineLevel="0" collapsed="false">
      <c r="A1" s="29" t="s">
        <v>14</v>
      </c>
      <c r="B1" s="30" t="s">
        <v>15</v>
      </c>
      <c r="C1" s="30" t="s">
        <v>16</v>
      </c>
      <c r="D1" s="29" t="s">
        <v>17</v>
      </c>
      <c r="E1" s="29" t="s">
        <v>18</v>
      </c>
      <c r="F1" s="30" t="s">
        <v>19</v>
      </c>
    </row>
    <row r="2" customFormat="false" ht="112.5" hidden="false" customHeight="true" outlineLevel="0" collapsed="false">
      <c r="A2" s="16" t="s">
        <v>279</v>
      </c>
      <c r="B2" s="18" t="s">
        <v>280</v>
      </c>
      <c r="C2" s="17" t="s">
        <v>281</v>
      </c>
      <c r="D2" s="17" t="s">
        <v>282</v>
      </c>
      <c r="E2" s="19" t="s">
        <v>4</v>
      </c>
      <c r="F2" s="20" t="s">
        <v>283</v>
      </c>
    </row>
    <row r="3" customFormat="false" ht="51" hidden="false" customHeight="true" outlineLevel="0" collapsed="false">
      <c r="A3" s="16" t="s">
        <v>284</v>
      </c>
      <c r="B3" s="18" t="s">
        <v>285</v>
      </c>
      <c r="C3" s="17" t="s">
        <v>286</v>
      </c>
      <c r="D3" s="17" t="s">
        <v>287</v>
      </c>
      <c r="E3" s="19" t="s">
        <v>4</v>
      </c>
      <c r="F3" s="20" t="s">
        <v>288</v>
      </c>
    </row>
    <row r="4" customFormat="false" ht="33.75" hidden="false" customHeight="true" outlineLevel="0" collapsed="false">
      <c r="A4" s="16"/>
      <c r="B4" s="16"/>
      <c r="C4" s="17" t="s">
        <v>289</v>
      </c>
      <c r="D4" s="17" t="s">
        <v>290</v>
      </c>
      <c r="E4" s="19" t="s">
        <v>4</v>
      </c>
      <c r="F4" s="20" t="s">
        <v>291</v>
      </c>
    </row>
    <row r="5" customFormat="false" ht="33.75" hidden="false" customHeight="true" outlineLevel="0" collapsed="false">
      <c r="A5" s="16"/>
      <c r="B5" s="16"/>
      <c r="C5" s="17" t="s">
        <v>292</v>
      </c>
      <c r="D5" s="17" t="s">
        <v>293</v>
      </c>
      <c r="E5" s="19" t="s">
        <v>4</v>
      </c>
      <c r="F5" s="20" t="s">
        <v>294</v>
      </c>
    </row>
    <row r="6" customFormat="false" ht="51" hidden="false" customHeight="true" outlineLevel="0" collapsed="false">
      <c r="A6" s="16"/>
      <c r="B6" s="16"/>
      <c r="C6" s="17" t="s">
        <v>295</v>
      </c>
      <c r="D6" s="17" t="s">
        <v>296</v>
      </c>
      <c r="E6" s="19" t="s">
        <v>4</v>
      </c>
      <c r="F6" s="20" t="s">
        <v>297</v>
      </c>
    </row>
    <row r="7" customFormat="false" ht="84.75" hidden="false" customHeight="true" outlineLevel="0" collapsed="false">
      <c r="A7" s="16"/>
      <c r="B7" s="16"/>
      <c r="C7" s="17" t="s">
        <v>298</v>
      </c>
      <c r="D7" s="17" t="s">
        <v>299</v>
      </c>
      <c r="E7" s="19" t="s">
        <v>4</v>
      </c>
      <c r="F7" s="20" t="s">
        <v>300</v>
      </c>
    </row>
    <row r="8" customFormat="false" ht="51" hidden="false" customHeight="true" outlineLevel="0" collapsed="false">
      <c r="A8" s="16" t="s">
        <v>301</v>
      </c>
      <c r="B8" s="18" t="s">
        <v>302</v>
      </c>
      <c r="C8" s="17" t="s">
        <v>303</v>
      </c>
      <c r="D8" s="17" t="s">
        <v>304</v>
      </c>
      <c r="E8" s="19" t="s">
        <v>4</v>
      </c>
      <c r="F8" s="20" t="s">
        <v>305</v>
      </c>
    </row>
    <row r="9" customFormat="false" ht="86.25" hidden="false" customHeight="true" outlineLevel="0" collapsed="false">
      <c r="A9" s="16"/>
      <c r="B9" s="16"/>
      <c r="C9" s="17" t="s">
        <v>306</v>
      </c>
      <c r="D9" s="17" t="s">
        <v>307</v>
      </c>
      <c r="E9" s="19" t="s">
        <v>4</v>
      </c>
      <c r="F9" s="20" t="s">
        <v>308</v>
      </c>
    </row>
    <row r="10" customFormat="false" ht="33.75" hidden="false" customHeight="true" outlineLevel="0" collapsed="false">
      <c r="A10" s="16"/>
      <c r="B10" s="16"/>
      <c r="C10" s="17" t="s">
        <v>309</v>
      </c>
      <c r="D10" s="17" t="s">
        <v>310</v>
      </c>
      <c r="E10" s="19" t="s">
        <v>4</v>
      </c>
      <c r="F10" s="20" t="s">
        <v>311</v>
      </c>
    </row>
    <row r="11" customFormat="false" ht="33.75" hidden="false" customHeight="true" outlineLevel="0" collapsed="false">
      <c r="A11" s="16"/>
      <c r="B11" s="16"/>
      <c r="C11" s="17" t="s">
        <v>312</v>
      </c>
      <c r="D11" s="17" t="s">
        <v>313</v>
      </c>
      <c r="E11" s="19" t="s">
        <v>4</v>
      </c>
      <c r="F11" s="20" t="s">
        <v>314</v>
      </c>
    </row>
    <row r="12" customFormat="false" ht="33.75" hidden="false" customHeight="true" outlineLevel="0" collapsed="false">
      <c r="A12" s="16" t="s">
        <v>315</v>
      </c>
      <c r="B12" s="18" t="s">
        <v>316</v>
      </c>
      <c r="C12" s="17" t="s">
        <v>317</v>
      </c>
      <c r="D12" s="17" t="s">
        <v>318</v>
      </c>
      <c r="E12" s="19" t="s">
        <v>4</v>
      </c>
      <c r="F12" s="20" t="s">
        <v>319</v>
      </c>
    </row>
    <row r="13" customFormat="false" ht="33.75" hidden="false" customHeight="true" outlineLevel="0" collapsed="false">
      <c r="A13" s="16"/>
      <c r="B13" s="16"/>
      <c r="C13" s="17" t="s">
        <v>320</v>
      </c>
      <c r="D13" s="17" t="s">
        <v>321</v>
      </c>
      <c r="E13" s="19" t="s">
        <v>4</v>
      </c>
      <c r="F13" s="20" t="s">
        <v>322</v>
      </c>
    </row>
    <row r="14" customFormat="false" ht="51" hidden="false" customHeight="true" outlineLevel="0" collapsed="false">
      <c r="A14" s="16"/>
      <c r="B14" s="16"/>
      <c r="C14" s="17" t="s">
        <v>323</v>
      </c>
      <c r="D14" s="17" t="s">
        <v>324</v>
      </c>
      <c r="E14" s="19" t="s">
        <v>4</v>
      </c>
      <c r="F14" s="20" t="s">
        <v>325</v>
      </c>
    </row>
    <row r="15" customFormat="false" ht="33.75" hidden="false" customHeight="true" outlineLevel="0" collapsed="false">
      <c r="A15" s="16" t="s">
        <v>326</v>
      </c>
      <c r="B15" s="18" t="s">
        <v>327</v>
      </c>
      <c r="C15" s="17" t="s">
        <v>328</v>
      </c>
      <c r="D15" s="17" t="s">
        <v>329</v>
      </c>
      <c r="E15" s="19" t="s">
        <v>4</v>
      </c>
      <c r="F15" s="20" t="s">
        <v>330</v>
      </c>
    </row>
    <row r="16" customFormat="false" ht="72" hidden="false" customHeight="true" outlineLevel="0" collapsed="false">
      <c r="A16" s="16"/>
      <c r="B16" s="16"/>
      <c r="C16" s="17" t="s">
        <v>331</v>
      </c>
      <c r="D16" s="17" t="s">
        <v>332</v>
      </c>
      <c r="E16" s="19" t="s">
        <v>4</v>
      </c>
      <c r="F16" s="20" t="s">
        <v>333</v>
      </c>
    </row>
  </sheetData>
  <mergeCells count="8">
    <mergeCell ref="A3:A7"/>
    <mergeCell ref="B3:B7"/>
    <mergeCell ref="A8:A11"/>
    <mergeCell ref="B8:B11"/>
    <mergeCell ref="A12:A14"/>
    <mergeCell ref="B12:B14"/>
    <mergeCell ref="A15:A16"/>
    <mergeCell ref="B15:B16"/>
  </mergeCells>
  <printOptions headings="false" gridLines="true" gridLinesSet="true" horizontalCentered="false" verticalCentered="false"/>
  <pageMargins left="0.7" right="0.7" top="0.75" bottom="0.75" header="0.3" footer="0.3"/>
  <pageSetup paperSize="1" scale="100" fitToWidth="1" fitToHeight="100" pageOrder="downThenOver" orientation="landscape" blackAndWhite="false" draft="false" cellComments="none" horizontalDpi="300" verticalDpi="300" copies="1"/>
  <headerFooter differentFirst="false" differentOddEven="false">
    <oddHeader>&amp;L&amp;10 NIST Cybersecurity Framework - Respond&amp;R&amp;10 GRC IS Audit/Assurance Program</oddHeader>
    <oddFooter>&amp;L&amp;9 Copyright 2016&amp;C&amp;10 GRC&amp;R&amp;10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EE8"/>
    <pageSetUpPr fitToPage="true"/>
  </sheetPr>
  <dimension ref="A1:F7"/>
  <sheetViews>
    <sheetView showFormulas="false" showGridLines="true" showRowColHeaders="true" showZeros="true" rightToLeft="false" tabSelected="true" showOutlineSymbols="true" defaultGridColor="true" view="normal" topLeftCell="A1" colorId="64" zoomScale="125" zoomScaleNormal="125" zoomScalePageLayoutView="100" workbookViewId="0">
      <selection pane="topLeft" activeCell="F5" activeCellId="0" sqref="F5"/>
    </sheetView>
  </sheetViews>
  <sheetFormatPr defaultColWidth="9.1640625" defaultRowHeight="15.75" zeroHeight="true" outlineLevelRow="0" outlineLevelCol="0"/>
  <cols>
    <col collapsed="false" customWidth="true" hidden="false" outlineLevel="0" max="1" min="1" style="8" width="10.66"/>
    <col collapsed="false" customWidth="true" hidden="false" outlineLevel="0" max="2" min="2" style="9" width="25.67"/>
    <col collapsed="false" customWidth="true" hidden="false" outlineLevel="0" max="3" min="3" style="9" width="28.67"/>
    <col collapsed="false" customWidth="true" hidden="false" outlineLevel="0" max="4" min="4" style="9" width="68.66"/>
    <col collapsed="false" customWidth="true" hidden="false" outlineLevel="0" max="5" min="5" style="8" width="10"/>
    <col collapsed="false" customWidth="true" hidden="false" outlineLevel="0" max="6" min="6" style="9" width="70"/>
    <col collapsed="false" customWidth="false" hidden="true" outlineLevel="0" max="16383" min="7" style="9" width="9.16"/>
    <col collapsed="false" customWidth="true" hidden="true" outlineLevel="0" max="16384" min="16384" style="9" width="2.83"/>
  </cols>
  <sheetData>
    <row r="1" s="24" customFormat="true" ht="33.75" hidden="false" customHeight="true" outlineLevel="0" collapsed="false">
      <c r="A1" s="31" t="s">
        <v>14</v>
      </c>
      <c r="B1" s="32" t="s">
        <v>15</v>
      </c>
      <c r="C1" s="32" t="s">
        <v>16</v>
      </c>
      <c r="D1" s="32" t="s">
        <v>17</v>
      </c>
      <c r="E1" s="31" t="s">
        <v>18</v>
      </c>
      <c r="F1" s="32" t="s">
        <v>19</v>
      </c>
    </row>
    <row r="2" customFormat="false" ht="136.5" hidden="false" customHeight="true" outlineLevel="0" collapsed="false">
      <c r="A2" s="16" t="s">
        <v>334</v>
      </c>
      <c r="B2" s="18" t="s">
        <v>335</v>
      </c>
      <c r="C2" s="17" t="s">
        <v>336</v>
      </c>
      <c r="D2" s="25" t="s">
        <v>337</v>
      </c>
      <c r="E2" s="21" t="s">
        <v>3</v>
      </c>
      <c r="F2" s="20" t="s">
        <v>338</v>
      </c>
    </row>
    <row r="3" customFormat="false" ht="33.75" hidden="false" customHeight="true" outlineLevel="0" collapsed="false">
      <c r="A3" s="16" t="s">
        <v>326</v>
      </c>
      <c r="B3" s="18" t="s">
        <v>339</v>
      </c>
      <c r="C3" s="17" t="s">
        <v>340</v>
      </c>
      <c r="D3" s="17" t="s">
        <v>341</v>
      </c>
      <c r="E3" s="19" t="s">
        <v>4</v>
      </c>
      <c r="F3" s="20" t="s">
        <v>342</v>
      </c>
    </row>
    <row r="4" customFormat="false" ht="79.5" hidden="false" customHeight="true" outlineLevel="0" collapsed="false">
      <c r="A4" s="16"/>
      <c r="B4" s="16"/>
      <c r="C4" s="17" t="s">
        <v>343</v>
      </c>
      <c r="D4" s="17" t="s">
        <v>344</v>
      </c>
      <c r="E4" s="21" t="s">
        <v>3</v>
      </c>
      <c r="F4" s="20" t="s">
        <v>345</v>
      </c>
    </row>
    <row r="5" customFormat="false" ht="16.5" hidden="false" customHeight="true" outlineLevel="0" collapsed="false">
      <c r="A5" s="16" t="s">
        <v>284</v>
      </c>
      <c r="B5" s="18" t="s">
        <v>346</v>
      </c>
      <c r="C5" s="17" t="s">
        <v>347</v>
      </c>
      <c r="D5" s="17" t="s">
        <v>348</v>
      </c>
      <c r="E5" s="19" t="s">
        <v>4</v>
      </c>
      <c r="F5" s="20" t="s">
        <v>349</v>
      </c>
    </row>
    <row r="6" customFormat="false" ht="33.75" hidden="false" customHeight="true" outlineLevel="0" collapsed="false">
      <c r="A6" s="16"/>
      <c r="B6" s="16"/>
      <c r="C6" s="17" t="s">
        <v>350</v>
      </c>
      <c r="D6" s="17" t="s">
        <v>351</v>
      </c>
      <c r="E6" s="19" t="s">
        <v>4</v>
      </c>
      <c r="F6" s="20" t="s">
        <v>352</v>
      </c>
    </row>
    <row r="7" customFormat="false" ht="165.75" hidden="false" customHeight="true" outlineLevel="0" collapsed="false">
      <c r="A7" s="16"/>
      <c r="B7" s="16"/>
      <c r="C7" s="17" t="s">
        <v>353</v>
      </c>
      <c r="D7" s="17" t="s">
        <v>354</v>
      </c>
      <c r="E7" s="19" t="s">
        <v>4</v>
      </c>
      <c r="F7" s="20" t="s">
        <v>355</v>
      </c>
    </row>
  </sheetData>
  <mergeCells count="4">
    <mergeCell ref="A3:A4"/>
    <mergeCell ref="B3:B4"/>
    <mergeCell ref="A5:A7"/>
    <mergeCell ref="B5:B7"/>
  </mergeCells>
  <printOptions headings="false" gridLines="true" gridLinesSet="true" horizontalCentered="false" verticalCentered="false"/>
  <pageMargins left="0.7" right="0.7" top="0.75" bottom="0.75" header="0.3" footer="0.3"/>
  <pageSetup paperSize="9" scale="100" fitToWidth="1" fitToHeight="100" pageOrder="downThenOver" orientation="landscape" blackAndWhite="false" draft="false" cellComments="none" horizontalDpi="300" verticalDpi="300" copies="1"/>
  <headerFooter differentFirst="false" differentOddEven="false">
    <oddHeader>&amp;L&amp;10 NIST Cybersecurity Framework - Recover&amp;R&amp;10 GRC IS Audit/Assurance Program</oddHeader>
    <oddFooter>&amp;L&amp;9 Copyright 2016&amp;C&amp;10 GRC&amp;R&amp;10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2016-02-24T21:05:42Z</dcterms:created>
  <dc:creator/>
  <dc:description/>
  <dc:language>en-US</dc:language>
  <cp:lastModifiedBy>Abed Hamdan</cp:lastModifiedBy>
  <cp:lastPrinted>2016-12-14T17:49:47Z</cp:lastPrinted>
  <dcterms:modified xsi:type="dcterms:W3CDTF">2026-09-24T14:40:51Z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